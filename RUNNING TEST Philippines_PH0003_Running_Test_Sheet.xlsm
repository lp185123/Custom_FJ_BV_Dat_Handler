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185612\Documents\GitHub\GCTDev-SR-Templates-Philippines-Single\Source\09_Deliverables\"/>
    </mc:Choice>
  </mc:AlternateContent>
  <xr:revisionPtr revIDLastSave="0" documentId="13_ncr:1_{6776F33D-E1E3-42AC-B516-B56554BBC5B8}" xr6:coauthVersionLast="47" xr6:coauthVersionMax="47" xr10:uidLastSave="{00000000-0000-0000-0000-000000000000}"/>
  <bookViews>
    <workbookView xWindow="-120" yWindow="-120" windowWidth="29040" windowHeight="15840" tabRatio="727" firstSheet="2" activeTab="3" xr2:uid="{00000000-000D-0000-FFFF-FFFF00000000}"/>
  </bookViews>
  <sheets>
    <sheet name="Pre-RT Checklist" sheetId="7" r:id="rId1"/>
    <sheet name="RT Completed Checklist" sheetId="8" r:id="rId2"/>
    <sheet name="Summary sheet correct CAT" sheetId="20" r:id="rId3"/>
    <sheet name="Number of Notes Summary Sheet" sheetId="35" r:id="rId4"/>
    <sheet name="100F" sheetId="46" r:id="rId5"/>
    <sheet name="Sheet2" sheetId="2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20" l="1"/>
  <c r="U23" i="46"/>
  <c r="F79" i="20"/>
  <c r="D61" i="20"/>
  <c r="D43" i="20"/>
  <c r="D70" i="20"/>
  <c r="J134" i="46"/>
  <c r="J133" i="46"/>
  <c r="T132" i="46"/>
  <c r="J132" i="46"/>
  <c r="U131" i="46"/>
  <c r="J131" i="46"/>
  <c r="T131" i="46" s="1"/>
  <c r="T130" i="46"/>
  <c r="J130" i="46"/>
  <c r="J129" i="46"/>
  <c r="T129" i="46" s="1"/>
  <c r="T128" i="46"/>
  <c r="S128" i="46"/>
  <c r="J128" i="46"/>
  <c r="Q128" i="46" s="1"/>
  <c r="U127" i="46"/>
  <c r="S127" i="46"/>
  <c r="R127" i="46"/>
  <c r="P127" i="46"/>
  <c r="J127" i="46"/>
  <c r="T127" i="46" s="1"/>
  <c r="T126" i="46"/>
  <c r="S126" i="46"/>
  <c r="R126" i="46"/>
  <c r="Q126" i="46"/>
  <c r="P126" i="46"/>
  <c r="J126" i="46"/>
  <c r="R125" i="46"/>
  <c r="P125" i="46"/>
  <c r="J125" i="46"/>
  <c r="P124" i="46"/>
  <c r="J124" i="46"/>
  <c r="U123" i="46"/>
  <c r="J123" i="46"/>
  <c r="P123" i="46" s="1"/>
  <c r="T122" i="46"/>
  <c r="J122" i="46"/>
  <c r="S122" i="46" s="1"/>
  <c r="J121" i="46"/>
  <c r="P121" i="46" s="1"/>
  <c r="J120" i="46"/>
  <c r="S120" i="46" s="1"/>
  <c r="U119" i="46"/>
  <c r="R119" i="46"/>
  <c r="P119" i="46"/>
  <c r="J119" i="46"/>
  <c r="Q119" i="46" s="1"/>
  <c r="J118" i="46"/>
  <c r="T118" i="46" s="1"/>
  <c r="P117" i="46"/>
  <c r="J117" i="46"/>
  <c r="J116" i="46"/>
  <c r="T116" i="46" s="1"/>
  <c r="U115" i="46"/>
  <c r="J115" i="46"/>
  <c r="J114" i="46"/>
  <c r="T114" i="46" s="1"/>
  <c r="J113" i="46"/>
  <c r="J112" i="46"/>
  <c r="T112" i="46" s="1"/>
  <c r="U111" i="46"/>
  <c r="T111" i="46"/>
  <c r="S111" i="46"/>
  <c r="R111" i="46"/>
  <c r="Q111" i="46"/>
  <c r="P111" i="46"/>
  <c r="J111" i="46"/>
  <c r="Q110" i="46"/>
  <c r="J110" i="46"/>
  <c r="T109" i="46"/>
  <c r="Q109" i="46"/>
  <c r="P109" i="46"/>
  <c r="J109" i="46"/>
  <c r="J108" i="46"/>
  <c r="U107" i="46"/>
  <c r="T107" i="46"/>
  <c r="S107" i="46"/>
  <c r="J107" i="46"/>
  <c r="Q107" i="46" s="1"/>
  <c r="J106" i="46"/>
  <c r="T106" i="46" s="1"/>
  <c r="T105" i="46"/>
  <c r="S105" i="46"/>
  <c r="R105" i="46"/>
  <c r="J105" i="46"/>
  <c r="Q105" i="46" s="1"/>
  <c r="J104" i="46"/>
  <c r="T104" i="46" s="1"/>
  <c r="U103" i="46"/>
  <c r="T103" i="46"/>
  <c r="J103" i="46"/>
  <c r="S102" i="46"/>
  <c r="R102" i="46"/>
  <c r="P102" i="46"/>
  <c r="J102" i="46"/>
  <c r="T102" i="46" s="1"/>
  <c r="T101" i="46"/>
  <c r="S101" i="46"/>
  <c r="R101" i="46"/>
  <c r="Q101" i="46"/>
  <c r="P101" i="46"/>
  <c r="J101" i="46"/>
  <c r="J100" i="46"/>
  <c r="U99" i="46"/>
  <c r="J99" i="46"/>
  <c r="S99" i="46" s="1"/>
  <c r="J98" i="46"/>
  <c r="P98" i="46" s="1"/>
  <c r="J97" i="46"/>
  <c r="S97" i="46" s="1"/>
  <c r="J96" i="46"/>
  <c r="P96" i="46" s="1"/>
  <c r="U95" i="46"/>
  <c r="J95" i="46"/>
  <c r="T95" i="46" s="1"/>
  <c r="T94" i="46"/>
  <c r="R94" i="46"/>
  <c r="J94" i="46"/>
  <c r="Q94" i="46" s="1"/>
  <c r="J93" i="46"/>
  <c r="T93" i="46" s="1"/>
  <c r="T92" i="46"/>
  <c r="R92" i="46"/>
  <c r="P92" i="46"/>
  <c r="J92" i="46"/>
  <c r="Q92" i="46" s="1"/>
  <c r="U91" i="46"/>
  <c r="J91" i="46"/>
  <c r="T91" i="46" s="1"/>
  <c r="S90" i="46"/>
  <c r="R90" i="46"/>
  <c r="Q90" i="46"/>
  <c r="J90" i="46"/>
  <c r="T90" i="46" s="1"/>
  <c r="J89" i="46"/>
  <c r="T89" i="46" s="1"/>
  <c r="J88" i="46"/>
  <c r="S88" i="46" s="1"/>
  <c r="U87" i="46"/>
  <c r="R87" i="46"/>
  <c r="Q87" i="46"/>
  <c r="P87" i="46"/>
  <c r="J87" i="46"/>
  <c r="T87" i="46" s="1"/>
  <c r="T86" i="46"/>
  <c r="S86" i="46"/>
  <c r="R86" i="46"/>
  <c r="Q86" i="46"/>
  <c r="P86" i="46"/>
  <c r="J86" i="46"/>
  <c r="R85" i="46"/>
  <c r="Q85" i="46"/>
  <c r="P85" i="46"/>
  <c r="J85" i="46"/>
  <c r="T85" i="46" s="1"/>
  <c r="Q84" i="46"/>
  <c r="P84" i="46"/>
  <c r="J84" i="46"/>
  <c r="U83" i="46"/>
  <c r="J83" i="46"/>
  <c r="T83" i="46" s="1"/>
  <c r="J82" i="46"/>
  <c r="Q82" i="46" s="1"/>
  <c r="J81" i="46"/>
  <c r="T81" i="46" s="1"/>
  <c r="R80" i="46"/>
  <c r="J80" i="46"/>
  <c r="U79" i="46"/>
  <c r="J79" i="46"/>
  <c r="T78" i="46"/>
  <c r="S78" i="46"/>
  <c r="J78" i="46"/>
  <c r="S77" i="46"/>
  <c r="R77" i="46"/>
  <c r="P77" i="46"/>
  <c r="J77" i="46"/>
  <c r="T77" i="46" s="1"/>
  <c r="T76" i="46"/>
  <c r="S76" i="46"/>
  <c r="R76" i="46"/>
  <c r="Q76" i="46"/>
  <c r="P76" i="46"/>
  <c r="J76" i="46"/>
  <c r="U75" i="46"/>
  <c r="J75" i="46"/>
  <c r="P75" i="46" s="1"/>
  <c r="T74" i="46"/>
  <c r="J74" i="46"/>
  <c r="S74" i="46" s="1"/>
  <c r="J73" i="46"/>
  <c r="J72" i="46"/>
  <c r="S72" i="46" s="1"/>
  <c r="U71" i="46"/>
  <c r="J71" i="46"/>
  <c r="J70" i="46"/>
  <c r="T70" i="46" s="1"/>
  <c r="T69" i="46"/>
  <c r="R69" i="46"/>
  <c r="J69" i="46"/>
  <c r="J68" i="46"/>
  <c r="T68" i="46" s="1"/>
  <c r="U67" i="46"/>
  <c r="J67" i="46"/>
  <c r="J66" i="46"/>
  <c r="T66" i="46" s="1"/>
  <c r="S65" i="46"/>
  <c r="J65" i="46"/>
  <c r="J64" i="46"/>
  <c r="T64" i="46" s="1"/>
  <c r="U63" i="46"/>
  <c r="P63" i="46"/>
  <c r="J63" i="46"/>
  <c r="P62" i="46"/>
  <c r="J62" i="46"/>
  <c r="S61" i="46"/>
  <c r="P61" i="46"/>
  <c r="J61" i="46"/>
  <c r="P60" i="46"/>
  <c r="J60" i="46"/>
  <c r="U59" i="46"/>
  <c r="T59" i="46"/>
  <c r="S59" i="46"/>
  <c r="J59" i="46"/>
  <c r="Q59" i="46" s="1"/>
  <c r="J58" i="46"/>
  <c r="T58" i="46" s="1"/>
  <c r="T57" i="46"/>
  <c r="S57" i="46"/>
  <c r="R57" i="46"/>
  <c r="J57" i="46"/>
  <c r="Q57" i="46" s="1"/>
  <c r="J56" i="46"/>
  <c r="T56" i="46" s="1"/>
  <c r="U55" i="46"/>
  <c r="J55" i="46"/>
  <c r="S54" i="46"/>
  <c r="R54" i="46"/>
  <c r="P54" i="46"/>
  <c r="J54" i="46"/>
  <c r="T54" i="46" s="1"/>
  <c r="T53" i="46"/>
  <c r="S53" i="46"/>
  <c r="R53" i="46"/>
  <c r="Q53" i="46"/>
  <c r="P53" i="46"/>
  <c r="J53" i="46"/>
  <c r="P52" i="46"/>
  <c r="J52" i="46"/>
  <c r="U51" i="46"/>
  <c r="J51" i="46"/>
  <c r="Q50" i="46"/>
  <c r="J50" i="46"/>
  <c r="P50" i="46" s="1"/>
  <c r="J49" i="46"/>
  <c r="S49" i="46" s="1"/>
  <c r="J48" i="46"/>
  <c r="P48" i="46" s="1"/>
  <c r="U47" i="46"/>
  <c r="J47" i="46"/>
  <c r="T47" i="46" s="1"/>
  <c r="R46" i="46"/>
  <c r="J46" i="46"/>
  <c r="J45" i="46"/>
  <c r="T45" i="46" s="1"/>
  <c r="T44" i="46"/>
  <c r="R44" i="46"/>
  <c r="P44" i="46"/>
  <c r="J44" i="46"/>
  <c r="Q44" i="46" s="1"/>
  <c r="U43" i="46"/>
  <c r="J43" i="46"/>
  <c r="T43" i="46" s="1"/>
  <c r="J42" i="46"/>
  <c r="J41" i="46"/>
  <c r="T41" i="46" s="1"/>
  <c r="R40" i="46"/>
  <c r="Q40" i="46"/>
  <c r="J40" i="46"/>
  <c r="U39" i="46"/>
  <c r="R39" i="46"/>
  <c r="J39" i="46"/>
  <c r="S38" i="46"/>
  <c r="J38" i="46"/>
  <c r="P38" i="46" s="1"/>
  <c r="T37" i="46"/>
  <c r="R37" i="46"/>
  <c r="Q37" i="46"/>
  <c r="P37" i="46"/>
  <c r="J37" i="46"/>
  <c r="S37" i="46" s="1"/>
  <c r="T36" i="46"/>
  <c r="S36" i="46"/>
  <c r="R36" i="46"/>
  <c r="Q36" i="46"/>
  <c r="P36" i="46"/>
  <c r="J36" i="46"/>
  <c r="U35" i="46"/>
  <c r="J35" i="46"/>
  <c r="T35" i="46" s="1"/>
  <c r="T34" i="46"/>
  <c r="S34" i="46"/>
  <c r="R34" i="46"/>
  <c r="J34" i="46"/>
  <c r="Q34" i="46" s="1"/>
  <c r="J33" i="46"/>
  <c r="T33" i="46" s="1"/>
  <c r="R32" i="46"/>
  <c r="J32" i="46"/>
  <c r="Q32" i="46" s="1"/>
  <c r="U31" i="46"/>
  <c r="S31" i="46"/>
  <c r="R31" i="46"/>
  <c r="P31" i="46"/>
  <c r="J31" i="46"/>
  <c r="T31" i="46" s="1"/>
  <c r="R30" i="46"/>
  <c r="Q30" i="46"/>
  <c r="P30" i="46"/>
  <c r="J30" i="46"/>
  <c r="S30" i="46" s="1"/>
  <c r="S29" i="46"/>
  <c r="J29" i="46"/>
  <c r="T29" i="46" s="1"/>
  <c r="T28" i="46"/>
  <c r="J28" i="46"/>
  <c r="Q28" i="46" s="1"/>
  <c r="U27" i="46"/>
  <c r="Q27" i="46"/>
  <c r="J27" i="46"/>
  <c r="P27" i="46" s="1"/>
  <c r="Q26" i="46"/>
  <c r="S26" i="46"/>
  <c r="R23" i="46"/>
  <c r="Q23" i="46"/>
  <c r="T22" i="46"/>
  <c r="R21" i="46"/>
  <c r="P21" i="46"/>
  <c r="Q21" i="46"/>
  <c r="R19" i="46"/>
  <c r="S18" i="46"/>
  <c r="T18" i="46"/>
  <c r="S17" i="46"/>
  <c r="R17" i="46"/>
  <c r="P17" i="46"/>
  <c r="T17" i="46"/>
  <c r="Q16" i="46"/>
  <c r="S16" i="46"/>
  <c r="Q15" i="46"/>
  <c r="P15" i="46"/>
  <c r="Q11" i="46"/>
  <c r="Q10" i="46"/>
  <c r="N10" i="46"/>
  <c r="Q9" i="46"/>
  <c r="N9" i="46"/>
  <c r="Q8" i="46"/>
  <c r="N8" i="46"/>
  <c r="Q7" i="46"/>
  <c r="N7" i="46"/>
  <c r="T133" i="46" l="1"/>
  <c r="Q133" i="46"/>
  <c r="P133" i="46"/>
  <c r="T20" i="46"/>
  <c r="R20" i="46"/>
  <c r="T100" i="46"/>
  <c r="S100" i="46"/>
  <c r="R100" i="46"/>
  <c r="P100" i="46"/>
  <c r="T115" i="46"/>
  <c r="S115" i="46"/>
  <c r="R115" i="46"/>
  <c r="Q115" i="46"/>
  <c r="P115" i="46"/>
  <c r="P25" i="46"/>
  <c r="Q25" i="46"/>
  <c r="T16" i="46"/>
  <c r="S28" i="46"/>
  <c r="T40" i="46"/>
  <c r="P40" i="46"/>
  <c r="R61" i="46"/>
  <c r="Q61" i="46"/>
  <c r="T82" i="46"/>
  <c r="T125" i="46"/>
  <c r="S125" i="46"/>
  <c r="S51" i="46"/>
  <c r="T51" i="46"/>
  <c r="T65" i="46"/>
  <c r="Q65" i="46"/>
  <c r="T79" i="46"/>
  <c r="R79" i="46"/>
  <c r="Q103" i="46"/>
  <c r="P103" i="46"/>
  <c r="T134" i="46"/>
  <c r="S134" i="46"/>
  <c r="P29" i="46"/>
  <c r="Q38" i="46"/>
  <c r="S40" i="46"/>
  <c r="T61" i="46"/>
  <c r="P65" i="46"/>
  <c r="Q71" i="46"/>
  <c r="T71" i="46"/>
  <c r="R71" i="46"/>
  <c r="P71" i="46"/>
  <c r="P79" i="46"/>
  <c r="T84" i="46"/>
  <c r="S84" i="46"/>
  <c r="R84" i="46"/>
  <c r="R103" i="46"/>
  <c r="Q121" i="46"/>
  <c r="P134" i="46"/>
  <c r="R29" i="46"/>
  <c r="R38" i="46"/>
  <c r="Q46" i="46"/>
  <c r="P46" i="46"/>
  <c r="T52" i="46"/>
  <c r="S52" i="46"/>
  <c r="S62" i="46"/>
  <c r="R62" i="46"/>
  <c r="R65" i="46"/>
  <c r="S79" i="46"/>
  <c r="S103" i="46"/>
  <c r="Q134" i="46"/>
  <c r="T42" i="46"/>
  <c r="P42" i="46"/>
  <c r="Q55" i="46"/>
  <c r="P55" i="46"/>
  <c r="T108" i="46"/>
  <c r="R108" i="46"/>
  <c r="Q108" i="46"/>
  <c r="P108" i="46"/>
  <c r="R134" i="46"/>
  <c r="T15" i="46"/>
  <c r="P18" i="46"/>
  <c r="S32" i="46"/>
  <c r="T38" i="46"/>
  <c r="Q42" i="46"/>
  <c r="T46" i="46"/>
  <c r="R52" i="46"/>
  <c r="R55" i="46"/>
  <c r="Q62" i="46"/>
  <c r="T72" i="46"/>
  <c r="Q80" i="46"/>
  <c r="T80" i="46"/>
  <c r="S80" i="46"/>
  <c r="S109" i="46"/>
  <c r="R109" i="46"/>
  <c r="Q117" i="46"/>
  <c r="R117" i="46"/>
  <c r="Q130" i="46"/>
  <c r="S130" i="46"/>
  <c r="R130" i="46"/>
  <c r="Q18" i="46"/>
  <c r="T32" i="46"/>
  <c r="S39" i="46"/>
  <c r="P39" i="46"/>
  <c r="R42" i="46"/>
  <c r="S55" i="46"/>
  <c r="T62" i="46"/>
  <c r="T67" i="46"/>
  <c r="R67" i="46"/>
  <c r="Q67" i="46"/>
  <c r="P67" i="46"/>
  <c r="P73" i="46"/>
  <c r="Q73" i="46"/>
  <c r="P16" i="46"/>
  <c r="R18" i="46"/>
  <c r="Q39" i="46"/>
  <c r="S42" i="46"/>
  <c r="T55" i="46"/>
  <c r="S60" i="46"/>
  <c r="Q60" i="46"/>
  <c r="S63" i="46"/>
  <c r="R63" i="46"/>
  <c r="S67" i="46"/>
  <c r="T97" i="46"/>
  <c r="S124" i="46"/>
  <c r="R124" i="46"/>
  <c r="T88" i="46"/>
  <c r="P88" i="46"/>
  <c r="T113" i="46"/>
  <c r="S113" i="46"/>
  <c r="R113" i="46"/>
  <c r="R16" i="46"/>
  <c r="P28" i="46"/>
  <c r="T30" i="46"/>
  <c r="T39" i="46"/>
  <c r="R60" i="46"/>
  <c r="Q63" i="46"/>
  <c r="R82" i="46"/>
  <c r="Q88" i="46"/>
  <c r="Q98" i="46"/>
  <c r="T110" i="46"/>
  <c r="R110" i="46"/>
  <c r="P113" i="46"/>
  <c r="Q124" i="46"/>
  <c r="R132" i="46"/>
  <c r="Q132" i="46"/>
  <c r="P132" i="46"/>
  <c r="S19" i="46"/>
  <c r="T19" i="46"/>
  <c r="S24" i="46"/>
  <c r="Q24" i="46"/>
  <c r="R28" i="46"/>
  <c r="T49" i="46"/>
  <c r="T60" i="46"/>
  <c r="T63" i="46"/>
  <c r="Q69" i="46"/>
  <c r="P69" i="46"/>
  <c r="Q75" i="46"/>
  <c r="R78" i="46"/>
  <c r="Q78" i="46"/>
  <c r="P78" i="46"/>
  <c r="S82" i="46"/>
  <c r="R88" i="46"/>
  <c r="P110" i="46"/>
  <c r="Q113" i="46"/>
  <c r="T124" i="46"/>
  <c r="S132" i="46"/>
  <c r="Q48" i="46"/>
  <c r="R59" i="46"/>
  <c r="P90" i="46"/>
  <c r="P94" i="46"/>
  <c r="T99" i="46"/>
  <c r="Q123" i="46"/>
  <c r="R128" i="46"/>
  <c r="Q96" i="46"/>
  <c r="R107" i="46"/>
  <c r="T120" i="46"/>
  <c r="R15" i="46"/>
  <c r="Q17" i="46"/>
  <c r="S21" i="46"/>
  <c r="S23" i="46"/>
  <c r="R25" i="46"/>
  <c r="R27" i="46"/>
  <c r="Q29" i="46"/>
  <c r="Q31" i="46"/>
  <c r="P33" i="46"/>
  <c r="P35" i="46"/>
  <c r="S44" i="46"/>
  <c r="S46" i="46"/>
  <c r="R48" i="46"/>
  <c r="R50" i="46"/>
  <c r="Q52" i="46"/>
  <c r="Q54" i="46"/>
  <c r="P56" i="46"/>
  <c r="P58" i="46"/>
  <c r="S69" i="46"/>
  <c r="S71" i="46"/>
  <c r="R73" i="46"/>
  <c r="R75" i="46"/>
  <c r="Q77" i="46"/>
  <c r="Q79" i="46"/>
  <c r="P81" i="46"/>
  <c r="P83" i="46"/>
  <c r="S92" i="46"/>
  <c r="S94" i="46"/>
  <c r="R96" i="46"/>
  <c r="R98" i="46"/>
  <c r="Q100" i="46"/>
  <c r="Q102" i="46"/>
  <c r="P104" i="46"/>
  <c r="P106" i="46"/>
  <c r="S117" i="46"/>
  <c r="S119" i="46"/>
  <c r="R121" i="46"/>
  <c r="R123" i="46"/>
  <c r="Q125" i="46"/>
  <c r="Q127" i="46"/>
  <c r="P129" i="46"/>
  <c r="P131" i="46"/>
  <c r="S15" i="46"/>
  <c r="U15" i="46" s="1"/>
  <c r="T21" i="46"/>
  <c r="S25" i="46"/>
  <c r="S27" i="46"/>
  <c r="Q33" i="46"/>
  <c r="Q35" i="46"/>
  <c r="S48" i="46"/>
  <c r="S50" i="46"/>
  <c r="Q56" i="46"/>
  <c r="Q58" i="46"/>
  <c r="S73" i="46"/>
  <c r="S75" i="46"/>
  <c r="Q81" i="46"/>
  <c r="Q83" i="46"/>
  <c r="S96" i="46"/>
  <c r="S98" i="46"/>
  <c r="Q104" i="46"/>
  <c r="Q106" i="46"/>
  <c r="T117" i="46"/>
  <c r="T119" i="46"/>
  <c r="S121" i="46"/>
  <c r="S123" i="46"/>
  <c r="Q129" i="46"/>
  <c r="Q131" i="46"/>
  <c r="T27" i="46"/>
  <c r="R33" i="46"/>
  <c r="R35" i="46"/>
  <c r="P41" i="46"/>
  <c r="P43" i="46"/>
  <c r="T48" i="46"/>
  <c r="T50" i="46"/>
  <c r="R56" i="46"/>
  <c r="R58" i="46"/>
  <c r="P64" i="46"/>
  <c r="P66" i="46"/>
  <c r="T73" i="46"/>
  <c r="T75" i="46"/>
  <c r="R81" i="46"/>
  <c r="R83" i="46"/>
  <c r="P89" i="46"/>
  <c r="P91" i="46"/>
  <c r="T96" i="46"/>
  <c r="T98" i="46"/>
  <c r="R104" i="46"/>
  <c r="R106" i="46"/>
  <c r="P112" i="46"/>
  <c r="P114" i="46"/>
  <c r="T121" i="46"/>
  <c r="T123" i="46"/>
  <c r="R129" i="46"/>
  <c r="R131" i="46"/>
  <c r="P22" i="46"/>
  <c r="S33" i="46"/>
  <c r="S35" i="46"/>
  <c r="Q41" i="46"/>
  <c r="Q43" i="46"/>
  <c r="P45" i="46"/>
  <c r="P47" i="46"/>
  <c r="S56" i="46"/>
  <c r="S58" i="46"/>
  <c r="Q64" i="46"/>
  <c r="Q66" i="46"/>
  <c r="P68" i="46"/>
  <c r="P70" i="46"/>
  <c r="S81" i="46"/>
  <c r="S83" i="46"/>
  <c r="Q89" i="46"/>
  <c r="Q91" i="46"/>
  <c r="P93" i="46"/>
  <c r="P95" i="46"/>
  <c r="S104" i="46"/>
  <c r="S106" i="46"/>
  <c r="Q112" i="46"/>
  <c r="Q114" i="46"/>
  <c r="P116" i="46"/>
  <c r="P118" i="46"/>
  <c r="S129" i="46"/>
  <c r="S131" i="46"/>
  <c r="R133" i="46"/>
  <c r="Q20" i="46"/>
  <c r="Q22" i="46"/>
  <c r="P24" i="46"/>
  <c r="P26" i="46"/>
  <c r="R41" i="46"/>
  <c r="R43" i="46"/>
  <c r="Q45" i="46"/>
  <c r="Q47" i="46"/>
  <c r="P49" i="46"/>
  <c r="P51" i="46"/>
  <c r="R64" i="46"/>
  <c r="R66" i="46"/>
  <c r="Q68" i="46"/>
  <c r="Q70" i="46"/>
  <c r="P72" i="46"/>
  <c r="P74" i="46"/>
  <c r="S85" i="46"/>
  <c r="S87" i="46"/>
  <c r="R89" i="46"/>
  <c r="R91" i="46"/>
  <c r="Q93" i="46"/>
  <c r="Q95" i="46"/>
  <c r="P97" i="46"/>
  <c r="P99" i="46"/>
  <c r="S108" i="46"/>
  <c r="S110" i="46"/>
  <c r="R112" i="46"/>
  <c r="R114" i="46"/>
  <c r="Q116" i="46"/>
  <c r="Q118" i="46"/>
  <c r="P120" i="46"/>
  <c r="P122" i="46"/>
  <c r="S133" i="46"/>
  <c r="R22" i="46"/>
  <c r="S41" i="46"/>
  <c r="S43" i="46"/>
  <c r="R45" i="46"/>
  <c r="R47" i="46"/>
  <c r="Q49" i="46"/>
  <c r="Q51" i="46"/>
  <c r="S64" i="46"/>
  <c r="S66" i="46"/>
  <c r="R68" i="46"/>
  <c r="R70" i="46"/>
  <c r="Q72" i="46"/>
  <c r="Q74" i="46"/>
  <c r="S89" i="46"/>
  <c r="S91" i="46"/>
  <c r="R93" i="46"/>
  <c r="R95" i="46"/>
  <c r="Q97" i="46"/>
  <c r="Q99" i="46"/>
  <c r="S112" i="46"/>
  <c r="S114" i="46"/>
  <c r="R116" i="46"/>
  <c r="R118" i="46"/>
  <c r="Q120" i="46"/>
  <c r="Q122" i="46"/>
  <c r="S20" i="46"/>
  <c r="S22" i="46"/>
  <c r="R24" i="46"/>
  <c r="R26" i="46"/>
  <c r="P32" i="46"/>
  <c r="P34" i="46"/>
  <c r="S45" i="46"/>
  <c r="S47" i="46"/>
  <c r="R49" i="46"/>
  <c r="R51" i="46"/>
  <c r="P57" i="46"/>
  <c r="P59" i="46"/>
  <c r="S68" i="46"/>
  <c r="S70" i="46"/>
  <c r="R72" i="46"/>
  <c r="R74" i="46"/>
  <c r="P80" i="46"/>
  <c r="P82" i="46"/>
  <c r="S93" i="46"/>
  <c r="S95" i="46"/>
  <c r="R97" i="46"/>
  <c r="R99" i="46"/>
  <c r="P105" i="46"/>
  <c r="P107" i="46"/>
  <c r="S116" i="46"/>
  <c r="S118" i="46"/>
  <c r="R120" i="46"/>
  <c r="R122" i="46"/>
  <c r="P128" i="46"/>
  <c r="P130" i="46"/>
  <c r="U19" i="46" l="1"/>
  <c r="E34" i="20" l="1"/>
  <c r="E70" i="20" l="1"/>
  <c r="E43" i="20"/>
  <c r="E7" i="20" l="1"/>
  <c r="E79" i="20"/>
  <c r="E61" i="20"/>
  <c r="E52" i="20"/>
  <c r="E25" i="20"/>
  <c r="E16" i="20"/>
  <c r="D79" i="20" l="1"/>
  <c r="J70" i="20"/>
  <c r="J61" i="20"/>
  <c r="D52" i="20"/>
  <c r="D34" i="20"/>
  <c r="D25" i="20"/>
  <c r="J25" i="20" s="1"/>
  <c r="D16" i="20"/>
  <c r="D7" i="20"/>
  <c r="J7" i="20" s="1"/>
  <c r="J5" i="20"/>
  <c r="J16" i="20" l="1"/>
  <c r="J4" i="20"/>
  <c r="J52" i="20"/>
  <c r="J34" i="20"/>
  <c r="J79" i="20"/>
</calcChain>
</file>

<file path=xl/sharedStrings.xml><?xml version="1.0" encoding="utf-8"?>
<sst xmlns="http://schemas.openxmlformats.org/spreadsheetml/2006/main" count="393" uniqueCount="138">
  <si>
    <t>Preparing for Running Test Checklist</t>
  </si>
  <si>
    <t>Item</t>
  </si>
  <si>
    <t>Ready?</t>
  </si>
  <si>
    <t>Banknotes available</t>
  </si>
  <si>
    <t>Ideally use the same notes that were sorted for the Data Collection (this allows versions of test template to be clearly compared)</t>
  </si>
  <si>
    <t>Sourcing additional notes is useful to ensure the template doesn’t only work well with the notes used for DC</t>
  </si>
  <si>
    <t>Understand how the template is meant to handle each note. Ideally requirements should not change.</t>
  </si>
  <si>
    <t>Hardware available</t>
  </si>
  <si>
    <t>Running Test software available</t>
  </si>
  <si>
    <t>Suitable laptop available</t>
  </si>
  <si>
    <t>RT Completed Checklist</t>
  </si>
  <si>
    <t>All notes supported by the template have been Run Tested (including fit, unfit, and any CF notes)</t>
  </si>
  <si>
    <t>Data Collected for all tests</t>
  </si>
  <si>
    <t>Bvinfo logs collected for all tests</t>
  </si>
  <si>
    <t>Running Test form reviewed before passing to GCTT.</t>
  </si>
  <si>
    <t>Data Collection and BVInfo logs checked before passing to GCTT.</t>
  </si>
  <si>
    <t>Summary</t>
  </si>
  <si>
    <t>Note Fitness Type</t>
  </si>
  <si>
    <t>#Notes ID0104</t>
  </si>
  <si>
    <t>#Notes ID0105</t>
  </si>
  <si>
    <t>Required behaviour</t>
  </si>
  <si>
    <t>Required Category</t>
  </si>
  <si>
    <t>Target</t>
  </si>
  <si>
    <t>SRU Average</t>
  </si>
  <si>
    <t>ID0104</t>
  </si>
  <si>
    <t>Fit Total</t>
  </si>
  <si>
    <t>Unfit Total</t>
  </si>
  <si>
    <t>Fit Handling</t>
  </si>
  <si>
    <t>Brand New</t>
  </si>
  <si>
    <t>Accepted/
Recycled</t>
  </si>
  <si>
    <t>ATM Fit total</t>
  </si>
  <si>
    <t>CAT4/4a</t>
  </si>
  <si>
    <t>Teller Fit</t>
  </si>
  <si>
    <t>Border Fit</t>
  </si>
  <si>
    <t>&gt;50%</t>
  </si>
  <si>
    <t>Unfit handling</t>
  </si>
  <si>
    <t>Border Unfit</t>
  </si>
  <si>
    <t>Accepted/ Not Recycled</t>
  </si>
  <si>
    <t>CAT5/4b</t>
  </si>
  <si>
    <t>Unfit Graffiti</t>
  </si>
  <si>
    <t>&gt;80%</t>
  </si>
  <si>
    <t>Unfit Stained</t>
  </si>
  <si>
    <t>as many as poss.</t>
  </si>
  <si>
    <t>"</t>
  </si>
  <si>
    <t>Unfit Soiled</t>
  </si>
  <si>
    <t>Rejected</t>
  </si>
  <si>
    <t>Unfit Cut/Taped</t>
  </si>
  <si>
    <t>CAT1</t>
  </si>
  <si>
    <t>Number of Notes Data Summary</t>
  </si>
  <si>
    <t>Country</t>
    <phoneticPr fontId="1"/>
  </si>
  <si>
    <t>Philippines</t>
  </si>
  <si>
    <t>City</t>
    <phoneticPr fontId="1"/>
  </si>
  <si>
    <t>Date</t>
    <phoneticPr fontId="1"/>
  </si>
  <si>
    <t>Name</t>
    <phoneticPr fontId="1"/>
  </si>
  <si>
    <t>№</t>
    <phoneticPr fontId="1"/>
  </si>
  <si>
    <t>Denomi</t>
    <phoneticPr fontId="1"/>
  </si>
  <si>
    <t>Brand New</t>
    <phoneticPr fontId="1"/>
  </si>
  <si>
    <t>ATM Fit</t>
    <phoneticPr fontId="1"/>
  </si>
  <si>
    <t>Teller Fit</t>
    <phoneticPr fontId="1"/>
  </si>
  <si>
    <t>UNFIT
Border of Fit</t>
    <phoneticPr fontId="1"/>
  </si>
  <si>
    <t>UNFIT
Border of Unfit</t>
    <phoneticPr fontId="1"/>
  </si>
  <si>
    <t>Counterfeit</t>
    <phoneticPr fontId="1"/>
  </si>
  <si>
    <t>Capture Data</t>
    <phoneticPr fontId="1"/>
  </si>
  <si>
    <t>Remarks</t>
    <phoneticPr fontId="1"/>
  </si>
  <si>
    <t>1000E</t>
  </si>
  <si>
    <t>1000F</t>
  </si>
  <si>
    <t>500E</t>
  </si>
  <si>
    <t>500F</t>
  </si>
  <si>
    <t>200C</t>
  </si>
  <si>
    <t>200D</t>
  </si>
  <si>
    <t>100F</t>
  </si>
  <si>
    <t>100G</t>
  </si>
  <si>
    <t>50C</t>
  </si>
  <si>
    <t>50B</t>
  </si>
  <si>
    <t>From the GBXX template it is disabled</t>
  </si>
  <si>
    <t>Running Test Sheet</t>
  </si>
  <si>
    <t>Template Country</t>
  </si>
  <si>
    <t>PHILIPPINES</t>
  </si>
  <si>
    <t>Date</t>
  </si>
  <si>
    <t>Summary for note type</t>
  </si>
  <si>
    <t>Overall Summary</t>
  </si>
  <si>
    <t>Currency</t>
  </si>
  <si>
    <t>PHP</t>
  </si>
  <si>
    <t>Sheet Number</t>
  </si>
  <si>
    <t>Note Condition</t>
  </si>
  <si>
    <t>Expected Category</t>
  </si>
  <si>
    <t>% Overall Correct Category</t>
  </si>
  <si>
    <t>Template Installed</t>
  </si>
  <si>
    <t>Location Testing Completed</t>
  </si>
  <si>
    <t>Fit</t>
  </si>
  <si>
    <t>ECB Mode</t>
  </si>
  <si>
    <t>ECB</t>
  </si>
  <si>
    <t>Name of Tester</t>
  </si>
  <si>
    <t>ATM fit</t>
  </si>
  <si>
    <t>Unfit - Graffiti</t>
  </si>
  <si>
    <t>Unfit</t>
  </si>
  <si>
    <t>Unfit - Stained</t>
  </si>
  <si>
    <t>Counterfeit</t>
  </si>
  <si>
    <t>Unfit - Cut/Taped</t>
  </si>
  <si>
    <t>Unfit - Other</t>
  </si>
  <si>
    <t>Bunch Number</t>
  </si>
  <si>
    <t>Series</t>
  </si>
  <si>
    <t>Denomi</t>
  </si>
  <si>
    <t>Expected category</t>
  </si>
  <si>
    <t>Target Percentage</t>
  </si>
  <si>
    <t>Shift</t>
  </si>
  <si>
    <t>Test Pieces
(Bunch Size)</t>
  </si>
  <si>
    <t>Orientation</t>
  </si>
  <si>
    <t>Number of notes per test</t>
  </si>
  <si>
    <t>Suspect</t>
  </si>
  <si>
    <t>Total
Reject</t>
  </si>
  <si>
    <t>CAT 1
Reject</t>
  </si>
  <si>
    <t>CAT 2
Counterfeit</t>
  </si>
  <si>
    <t>CAT 3
Suspect</t>
  </si>
  <si>
    <t>CAT4a/4
Genuine Fit</t>
  </si>
  <si>
    <t>CAT4b/5
Genuine Unfit</t>
  </si>
  <si>
    <t>% Correct Category</t>
  </si>
  <si>
    <t>Data File</t>
  </si>
  <si>
    <t>Comments</t>
  </si>
  <si>
    <t>CAT 4a/4 - Genuine Fit</t>
  </si>
  <si>
    <t>Center</t>
  </si>
  <si>
    <t>A</t>
  </si>
  <si>
    <t>B</t>
  </si>
  <si>
    <t>C</t>
  </si>
  <si>
    <t>D</t>
  </si>
  <si>
    <t>Teller fit</t>
  </si>
  <si>
    <t>CAT 4b/5 - Genuine Unfit</t>
  </si>
  <si>
    <t>CAT 2 - Counterfeit</t>
  </si>
  <si>
    <t>F</t>
  </si>
  <si>
    <t>Note Category</t>
  </si>
  <si>
    <t>Run Sheet</t>
  </si>
  <si>
    <t>ECB mode</t>
  </si>
  <si>
    <t>CAT 1 - Reject</t>
  </si>
  <si>
    <t>Left</t>
  </si>
  <si>
    <t>Non-ECB</t>
  </si>
  <si>
    <t>Right</t>
  </si>
  <si>
    <t>CAT 3 - Suspect</t>
  </si>
  <si>
    <t>PHP_91.00.00.04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</si>
</sst>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40">
    <font>
      <sz val="8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color rgb="FFFF0000"/>
      <name val="Arial"/>
      <family val="2"/>
    </font>
    <font>
      <sz val="18"/>
      <color rgb="FFFF0000"/>
      <name val="Arial"/>
      <family val="2"/>
    </font>
    <font>
      <sz val="11"/>
      <name val="ＭＳ Ｐゴシック"/>
      <family val="3"/>
      <charset val="128"/>
    </font>
    <font>
      <b/>
      <sz val="10"/>
      <name val="Arial"/>
      <family val="2"/>
    </font>
    <font>
      <sz val="14"/>
      <name val="Arial"/>
      <family val="2"/>
    </font>
    <font>
      <b/>
      <sz val="11"/>
      <color rgb="FFFF000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2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8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sz val="20"/>
      <name val="Arial"/>
      <family val="2"/>
    </font>
    <font>
      <b/>
      <i/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u/>
      <sz val="18"/>
      <name val="Arial"/>
      <family val="2"/>
    </font>
    <font>
      <b/>
      <sz val="18"/>
      <name val="Arial"/>
      <family val="2"/>
    </font>
    <font>
      <b/>
      <sz val="1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b/>
      <u/>
      <sz val="16"/>
      <color theme="1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1"/>
      <color rgb="FFFF0000"/>
      <name val="Calibri"/>
      <family val="3"/>
      <charset val="128"/>
      <scheme val="minor"/>
    </font>
    <font>
      <b/>
      <sz val="11"/>
      <name val="Calibri"/>
      <family val="3"/>
      <charset val="128"/>
      <scheme val="minor"/>
    </font>
    <font>
      <b/>
      <sz val="11"/>
      <color rgb="FF0070C0"/>
      <name val="Calibri"/>
      <family val="3"/>
      <charset val="128"/>
      <scheme val="minor"/>
    </font>
    <font>
      <b/>
      <sz val="8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5" fillId="0" borderId="0"/>
    <xf numFmtId="0" fontId="9" fillId="0" borderId="0"/>
    <xf numFmtId="9" fontId="15" fillId="0" borderId="0" applyFont="0" applyFill="0" applyBorder="0" applyAlignment="0" applyProtection="0"/>
    <xf numFmtId="0" fontId="21" fillId="4" borderId="0" applyNumberFormat="0" applyBorder="0" applyAlignment="0" applyProtection="0"/>
    <xf numFmtId="0" fontId="5" fillId="0" borderId="0">
      <alignment vertical="center"/>
    </xf>
    <xf numFmtId="0" fontId="32" fillId="0" borderId="0">
      <alignment vertical="center"/>
    </xf>
  </cellStyleXfs>
  <cellXfs count="249">
    <xf numFmtId="0" fontId="0" fillId="0" borderId="0" xfId="0"/>
    <xf numFmtId="0" fontId="1" fillId="0" borderId="0" xfId="0" applyFont="1"/>
    <xf numFmtId="0" fontId="2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7" fillId="2" borderId="34" xfId="0" applyFont="1" applyFill="1" applyBorder="1"/>
    <xf numFmtId="0" fontId="0" fillId="0" borderId="0" xfId="0" applyAlignment="1">
      <alignment horizontal="right" vertical="center" wrapText="1"/>
    </xf>
    <xf numFmtId="0" fontId="17" fillId="2" borderId="15" xfId="0" applyFont="1" applyFill="1" applyBorder="1" applyAlignment="1">
      <alignment vertical="center" textRotation="90" wrapText="1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  <xf numFmtId="9" fontId="19" fillId="0" borderId="0" xfId="0" applyNumberFormat="1" applyFont="1" applyAlignment="1">
      <alignment vertical="center" wrapText="1"/>
    </xf>
    <xf numFmtId="10" fontId="0" fillId="0" borderId="0" xfId="0" applyNumberFormat="1"/>
    <xf numFmtId="10" fontId="20" fillId="0" borderId="0" xfId="0" applyNumberFormat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6" fillId="0" borderId="7" xfId="0" applyFont="1" applyBorder="1"/>
    <xf numFmtId="0" fontId="8" fillId="0" borderId="7" xfId="0" applyFont="1" applyBorder="1"/>
    <xf numFmtId="0" fontId="8" fillId="0" borderId="7" xfId="0" applyFont="1" applyBorder="1" applyAlignment="1">
      <alignment wrapText="1"/>
    </xf>
    <xf numFmtId="0" fontId="3" fillId="0" borderId="0" xfId="0" applyFont="1" applyAlignment="1">
      <alignment vertical="center" wrapText="1"/>
    </xf>
    <xf numFmtId="0" fontId="24" fillId="0" borderId="3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164" fontId="1" fillId="3" borderId="37" xfId="0" applyNumberFormat="1" applyFont="1" applyFill="1" applyBorder="1" applyAlignment="1">
      <alignment horizontal="center" vertical="center" wrapText="1"/>
    </xf>
    <xf numFmtId="164" fontId="1" fillId="3" borderId="38" xfId="0" applyNumberFormat="1" applyFont="1" applyFill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4" fontId="1" fillId="3" borderId="45" xfId="0" applyNumberFormat="1" applyFont="1" applyFill="1" applyBorder="1" applyAlignment="1">
      <alignment horizontal="center" vertical="center" wrapText="1"/>
    </xf>
    <xf numFmtId="164" fontId="1" fillId="3" borderId="40" xfId="0" applyNumberFormat="1" applyFont="1" applyFill="1" applyBorder="1" applyAlignment="1">
      <alignment horizontal="center" vertical="center" wrapText="1"/>
    </xf>
    <xf numFmtId="164" fontId="1" fillId="3" borderId="41" xfId="0" applyNumberFormat="1" applyFont="1" applyFill="1" applyBorder="1" applyAlignment="1">
      <alignment horizontal="center" vertical="center" wrapText="1"/>
    </xf>
    <xf numFmtId="164" fontId="1" fillId="3" borderId="46" xfId="0" applyNumberFormat="1" applyFont="1" applyFill="1" applyBorder="1" applyAlignment="1">
      <alignment horizontal="center" vertical="center" wrapText="1"/>
    </xf>
    <xf numFmtId="164" fontId="1" fillId="3" borderId="29" xfId="0" applyNumberFormat="1" applyFont="1" applyFill="1" applyBorder="1" applyAlignment="1">
      <alignment horizontal="center" vertical="center" wrapText="1"/>
    </xf>
    <xf numFmtId="164" fontId="1" fillId="3" borderId="28" xfId="0" applyNumberFormat="1" applyFont="1" applyFill="1" applyBorder="1" applyAlignment="1">
      <alignment horizontal="center" vertical="center" wrapText="1"/>
    </xf>
    <xf numFmtId="164" fontId="1" fillId="3" borderId="26" xfId="0" applyNumberFormat="1" applyFont="1" applyFill="1" applyBorder="1" applyAlignment="1">
      <alignment horizontal="center" vertical="center" wrapText="1"/>
    </xf>
    <xf numFmtId="164" fontId="1" fillId="3" borderId="13" xfId="0" applyNumberFormat="1" applyFont="1" applyFill="1" applyBorder="1" applyAlignment="1">
      <alignment horizontal="center" vertical="center" wrapText="1"/>
    </xf>
    <xf numFmtId="164" fontId="1" fillId="3" borderId="17" xfId="0" applyNumberFormat="1" applyFont="1" applyFill="1" applyBorder="1" applyAlignment="1">
      <alignment horizontal="center" vertical="center" wrapText="1"/>
    </xf>
    <xf numFmtId="164" fontId="1" fillId="3" borderId="31" xfId="0" applyNumberFormat="1" applyFont="1" applyFill="1" applyBorder="1" applyAlignment="1">
      <alignment horizontal="center" vertical="center" wrapText="1"/>
    </xf>
    <xf numFmtId="164" fontId="1" fillId="3" borderId="33" xfId="0" applyNumberFormat="1" applyFont="1" applyFill="1" applyBorder="1" applyAlignment="1">
      <alignment horizontal="center" vertical="center" wrapText="1"/>
    </xf>
    <xf numFmtId="164" fontId="1" fillId="3" borderId="23" xfId="0" applyNumberFormat="1" applyFont="1" applyFill="1" applyBorder="1" applyAlignment="1">
      <alignment horizontal="center" vertical="center" wrapText="1"/>
    </xf>
    <xf numFmtId="164" fontId="1" fillId="3" borderId="47" xfId="0" applyNumberFormat="1" applyFont="1" applyFill="1" applyBorder="1" applyAlignment="1">
      <alignment horizontal="center" vertical="center" wrapText="1"/>
    </xf>
    <xf numFmtId="164" fontId="1" fillId="3" borderId="18" xfId="0" applyNumberFormat="1" applyFont="1" applyFill="1" applyBorder="1" applyAlignment="1">
      <alignment horizontal="center" vertical="center" wrapText="1"/>
    </xf>
    <xf numFmtId="10" fontId="1" fillId="2" borderId="28" xfId="0" applyNumberFormat="1" applyFont="1" applyFill="1" applyBorder="1" applyAlignment="1">
      <alignment horizontal="center" vertical="center"/>
    </xf>
    <xf numFmtId="0" fontId="23" fillId="5" borderId="34" xfId="0" applyFont="1" applyFill="1" applyBorder="1" applyAlignment="1">
      <alignment horizontal="left" vertical="center"/>
    </xf>
    <xf numFmtId="0" fontId="23" fillId="5" borderId="35" xfId="0" applyFont="1" applyFill="1" applyBorder="1" applyAlignment="1">
      <alignment horizontal="left" vertical="center"/>
    </xf>
    <xf numFmtId="0" fontId="23" fillId="5" borderId="36" xfId="0" applyFont="1" applyFill="1" applyBorder="1" applyAlignment="1">
      <alignment horizontal="left" vertical="center"/>
    </xf>
    <xf numFmtId="164" fontId="1" fillId="3" borderId="48" xfId="0" applyNumberFormat="1" applyFont="1" applyFill="1" applyBorder="1" applyAlignment="1">
      <alignment horizontal="center" vertical="center" wrapText="1"/>
    </xf>
    <xf numFmtId="164" fontId="1" fillId="3" borderId="49" xfId="0" applyNumberFormat="1" applyFont="1" applyFill="1" applyBorder="1" applyAlignment="1">
      <alignment horizontal="center" vertical="center" wrapText="1"/>
    </xf>
    <xf numFmtId="164" fontId="1" fillId="3" borderId="50" xfId="0" applyNumberFormat="1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25" fillId="0" borderId="0" xfId="0" applyFont="1"/>
    <xf numFmtId="0" fontId="1" fillId="6" borderId="0" xfId="0" applyFont="1" applyFill="1"/>
    <xf numFmtId="0" fontId="1" fillId="6" borderId="14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23" fillId="6" borderId="0" xfId="0" applyFont="1" applyFill="1" applyAlignment="1">
      <alignment vertical="center"/>
    </xf>
    <xf numFmtId="0" fontId="25" fillId="6" borderId="0" xfId="0" applyFont="1" applyFill="1" applyAlignment="1">
      <alignment horizontal="center"/>
    </xf>
    <xf numFmtId="0" fontId="10" fillId="6" borderId="0" xfId="2" applyFont="1" applyFill="1" applyAlignment="1">
      <alignment horizontal="center"/>
    </xf>
    <xf numFmtId="0" fontId="4" fillId="6" borderId="0" xfId="0" applyFont="1" applyFill="1" applyAlignment="1">
      <alignment vertical="center"/>
    </xf>
    <xf numFmtId="0" fontId="2" fillId="6" borderId="16" xfId="0" applyFont="1" applyFill="1" applyBorder="1" applyAlignment="1">
      <alignment horizontal="left" wrapText="1"/>
    </xf>
    <xf numFmtId="0" fontId="2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1" fillId="6" borderId="0" xfId="0" applyFont="1" applyFill="1" applyAlignment="1">
      <alignment horizontal="center" wrapText="1"/>
    </xf>
    <xf numFmtId="0" fontId="2" fillId="6" borderId="6" xfId="0" applyFont="1" applyFill="1" applyBorder="1" applyAlignment="1">
      <alignment horizontal="left" wrapText="1"/>
    </xf>
    <xf numFmtId="0" fontId="2" fillId="6" borderId="7" xfId="0" applyFont="1" applyFill="1" applyBorder="1" applyAlignment="1">
      <alignment horizontal="left"/>
    </xf>
    <xf numFmtId="0" fontId="1" fillId="6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 wrapText="1"/>
    </xf>
    <xf numFmtId="0" fontId="7" fillId="6" borderId="0" xfId="0" applyFont="1" applyFill="1"/>
    <xf numFmtId="0" fontId="25" fillId="6" borderId="1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left" vertical="center"/>
    </xf>
    <xf numFmtId="0" fontId="1" fillId="2" borderId="26" xfId="0" applyFont="1" applyFill="1" applyBorder="1"/>
    <xf numFmtId="0" fontId="1" fillId="2" borderId="13" xfId="0" applyFont="1" applyFill="1" applyBorder="1"/>
    <xf numFmtId="0" fontId="6" fillId="2" borderId="37" xfId="0" applyFont="1" applyFill="1" applyBorder="1" applyAlignment="1">
      <alignment horizontal="left" vertical="center"/>
    </xf>
    <xf numFmtId="0" fontId="1" fillId="2" borderId="29" xfId="0" applyFont="1" applyFill="1" applyBorder="1"/>
    <xf numFmtId="0" fontId="1" fillId="2" borderId="17" xfId="0" applyFont="1" applyFill="1" applyBorder="1"/>
    <xf numFmtId="0" fontId="6" fillId="2" borderId="38" xfId="0" applyFont="1" applyFill="1" applyBorder="1" applyAlignment="1">
      <alignment horizontal="left" vertical="center"/>
    </xf>
    <xf numFmtId="0" fontId="1" fillId="2" borderId="31" xfId="0" applyFont="1" applyFill="1" applyBorder="1"/>
    <xf numFmtId="0" fontId="1" fillId="2" borderId="33" xfId="0" applyFont="1" applyFill="1" applyBorder="1"/>
    <xf numFmtId="0" fontId="1" fillId="2" borderId="28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1" fillId="2" borderId="27" xfId="0" applyFont="1" applyFill="1" applyBorder="1"/>
    <xf numFmtId="0" fontId="1" fillId="2" borderId="30" xfId="0" applyFont="1" applyFill="1" applyBorder="1"/>
    <xf numFmtId="0" fontId="1" fillId="2" borderId="32" xfId="0" applyFont="1" applyFill="1" applyBorder="1"/>
    <xf numFmtId="0" fontId="6" fillId="2" borderId="42" xfId="0" applyFont="1" applyFill="1" applyBorder="1" applyAlignment="1">
      <alignment horizontal="left" vertical="center"/>
    </xf>
    <xf numFmtId="0" fontId="6" fillId="2" borderId="43" xfId="0" applyFont="1" applyFill="1" applyBorder="1" applyAlignment="1">
      <alignment horizontal="left" vertical="center"/>
    </xf>
    <xf numFmtId="0" fontId="6" fillId="2" borderId="44" xfId="0" applyFont="1" applyFill="1" applyBorder="1" applyAlignment="1">
      <alignment horizontal="left" vertical="center"/>
    </xf>
    <xf numFmtId="0" fontId="2" fillId="2" borderId="28" xfId="0" applyFont="1" applyFill="1" applyBorder="1"/>
    <xf numFmtId="0" fontId="2" fillId="2" borderId="37" xfId="0" applyFont="1" applyFill="1" applyBorder="1"/>
    <xf numFmtId="0" fontId="28" fillId="2" borderId="24" xfId="4" applyFont="1" applyFill="1" applyBorder="1" applyAlignment="1">
      <alignment horizontal="center" vertical="center" wrapText="1"/>
    </xf>
    <xf numFmtId="0" fontId="28" fillId="2" borderId="9" xfId="4" applyFont="1" applyFill="1" applyBorder="1" applyAlignment="1">
      <alignment horizontal="center" vertical="center"/>
    </xf>
    <xf numFmtId="0" fontId="28" fillId="2" borderId="2" xfId="4" applyFont="1" applyFill="1" applyBorder="1" applyAlignment="1">
      <alignment horizontal="center" vertical="center" wrapText="1"/>
    </xf>
    <xf numFmtId="0" fontId="28" fillId="2" borderId="10" xfId="4" applyFont="1" applyFill="1" applyBorder="1" applyAlignment="1">
      <alignment horizontal="center" vertical="center" wrapText="1"/>
    </xf>
    <xf numFmtId="0" fontId="28" fillId="2" borderId="12" xfId="4" applyFont="1" applyFill="1" applyBorder="1" applyAlignment="1">
      <alignment horizontal="center" vertical="center" wrapText="1"/>
    </xf>
    <xf numFmtId="0" fontId="28" fillId="2" borderId="11" xfId="4" applyFont="1" applyFill="1" applyBorder="1" applyAlignment="1">
      <alignment horizontal="center" vertical="center"/>
    </xf>
    <xf numFmtId="0" fontId="29" fillId="0" borderId="0" xfId="5" applyFont="1">
      <alignment vertical="center"/>
    </xf>
    <xf numFmtId="0" fontId="30" fillId="0" borderId="0" xfId="5" applyFont="1">
      <alignment vertical="center"/>
    </xf>
    <xf numFmtId="0" fontId="31" fillId="0" borderId="0" xfId="5" applyFont="1">
      <alignment vertical="center"/>
    </xf>
    <xf numFmtId="0" fontId="32" fillId="0" borderId="54" xfId="6" applyBorder="1">
      <alignment vertical="center"/>
    </xf>
    <xf numFmtId="0" fontId="32" fillId="0" borderId="0" xfId="6">
      <alignment vertical="center"/>
    </xf>
    <xf numFmtId="0" fontId="2" fillId="7" borderId="29" xfId="0" applyFont="1" applyFill="1" applyBorder="1" applyAlignment="1">
      <alignment horizontal="center" vertical="center"/>
    </xf>
    <xf numFmtId="0" fontId="29" fillId="0" borderId="0" xfId="6" applyFont="1">
      <alignment vertical="center"/>
    </xf>
    <xf numFmtId="0" fontId="33" fillId="0" borderId="0" xfId="6" applyFont="1">
      <alignment vertical="center"/>
    </xf>
    <xf numFmtId="0" fontId="34" fillId="0" borderId="0" xfId="6" applyFont="1">
      <alignment vertical="center"/>
    </xf>
    <xf numFmtId="0" fontId="35" fillId="0" borderId="0" xfId="6" applyFont="1" applyAlignment="1">
      <alignment horizontal="right" vertical="center"/>
    </xf>
    <xf numFmtId="0" fontId="32" fillId="8" borderId="29" xfId="6" applyFill="1" applyBorder="1" applyAlignment="1">
      <alignment horizontal="center" vertical="center"/>
    </xf>
    <xf numFmtId="0" fontId="32" fillId="8" borderId="29" xfId="6" applyFill="1" applyBorder="1" applyAlignment="1">
      <alignment horizontal="center" vertical="center" wrapText="1"/>
    </xf>
    <xf numFmtId="0" fontId="32" fillId="0" borderId="0" xfId="6" applyAlignment="1">
      <alignment horizontal="center" vertical="center"/>
    </xf>
    <xf numFmtId="0" fontId="32" fillId="0" borderId="29" xfId="6" applyBorder="1">
      <alignment vertical="center"/>
    </xf>
    <xf numFmtId="0" fontId="36" fillId="0" borderId="29" xfId="6" applyFont="1" applyBorder="1" applyAlignment="1">
      <alignment horizontal="center" vertical="center"/>
    </xf>
    <xf numFmtId="0" fontId="36" fillId="0" borderId="29" xfId="6" applyFont="1" applyBorder="1" applyAlignment="1">
      <alignment horizontal="left" vertical="center" wrapText="1"/>
    </xf>
    <xf numFmtId="0" fontId="37" fillId="0" borderId="0" xfId="6" applyFont="1">
      <alignment vertical="center"/>
    </xf>
    <xf numFmtId="0" fontId="38" fillId="0" borderId="0" xfId="6" applyFont="1">
      <alignment vertical="center"/>
    </xf>
    <xf numFmtId="0" fontId="36" fillId="0" borderId="0" xfId="6" applyFont="1">
      <alignment vertical="center"/>
    </xf>
    <xf numFmtId="0" fontId="35" fillId="0" borderId="0" xfId="6" applyFo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40" xfId="0" applyFont="1" applyFill="1" applyBorder="1" applyAlignment="1">
      <alignment vertical="center"/>
    </xf>
    <xf numFmtId="0" fontId="3" fillId="3" borderId="41" xfId="0" applyFont="1" applyFill="1" applyBorder="1" applyAlignment="1">
      <alignment vertical="center"/>
    </xf>
    <xf numFmtId="10" fontId="18" fillId="9" borderId="8" xfId="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center" vertical="center"/>
    </xf>
    <xf numFmtId="10" fontId="20" fillId="9" borderId="0" xfId="0" applyNumberFormat="1" applyFont="1" applyFill="1" applyAlignment="1">
      <alignment horizontal="center"/>
    </xf>
    <xf numFmtId="0" fontId="16" fillId="9" borderId="28" xfId="0" applyFont="1" applyFill="1" applyBorder="1" applyAlignment="1">
      <alignment horizontal="center" vertical="center" wrapText="1"/>
    </xf>
    <xf numFmtId="0" fontId="16" fillId="9" borderId="26" xfId="0" applyFont="1" applyFill="1" applyBorder="1" applyAlignment="1">
      <alignment horizontal="center" vertical="center" wrapText="1"/>
    </xf>
    <xf numFmtId="0" fontId="16" fillId="9" borderId="27" xfId="0" applyFont="1" applyFill="1" applyBorder="1" applyAlignment="1">
      <alignment horizontal="center" vertical="center" wrapText="1"/>
    </xf>
    <xf numFmtId="10" fontId="16" fillId="9" borderId="34" xfId="0" applyNumberFormat="1" applyFont="1" applyFill="1" applyBorder="1" applyAlignment="1">
      <alignment horizontal="center" vertical="center" wrapText="1"/>
    </xf>
    <xf numFmtId="0" fontId="16" fillId="9" borderId="21" xfId="0" applyFont="1" applyFill="1" applyBorder="1" applyAlignment="1">
      <alignment horizontal="center" vertical="center" wrapText="1"/>
    </xf>
    <xf numFmtId="0" fontId="16" fillId="9" borderId="22" xfId="0" applyFont="1" applyFill="1" applyBorder="1" applyAlignment="1">
      <alignment horizontal="center" vertical="center" wrapText="1"/>
    </xf>
    <xf numFmtId="0" fontId="16" fillId="9" borderId="39" xfId="0" applyFont="1" applyFill="1" applyBorder="1" applyAlignment="1">
      <alignment horizontal="center" vertical="center" wrapText="1"/>
    </xf>
    <xf numFmtId="10" fontId="16" fillId="9" borderId="28" xfId="0" applyNumberFormat="1" applyFont="1" applyFill="1" applyBorder="1" applyAlignment="1">
      <alignment horizontal="center" vertical="center" wrapText="1"/>
    </xf>
    <xf numFmtId="0" fontId="17" fillId="9" borderId="37" xfId="0" applyFont="1" applyFill="1" applyBorder="1" applyAlignment="1">
      <alignment vertical="center" wrapText="1"/>
    </xf>
    <xf numFmtId="0" fontId="17" fillId="9" borderId="29" xfId="0" applyFont="1" applyFill="1" applyBorder="1" applyAlignment="1">
      <alignment horizontal="center" vertical="center" wrapText="1"/>
    </xf>
    <xf numFmtId="0" fontId="17" fillId="9" borderId="29" xfId="0" applyFont="1" applyFill="1" applyBorder="1" applyAlignment="1">
      <alignment vertical="center" wrapText="1"/>
    </xf>
    <xf numFmtId="9" fontId="17" fillId="9" borderId="30" xfId="0" applyNumberFormat="1" applyFont="1" applyFill="1" applyBorder="1" applyAlignment="1">
      <alignment horizontal="center" vertical="center" wrapText="1"/>
    </xf>
    <xf numFmtId="10" fontId="18" fillId="9" borderId="37" xfId="3" applyNumberFormat="1" applyFont="1" applyFill="1" applyBorder="1" applyAlignment="1">
      <alignment horizontal="center" vertical="center" wrapText="1"/>
    </xf>
    <xf numFmtId="0" fontId="17" fillId="9" borderId="38" xfId="0" applyFont="1" applyFill="1" applyBorder="1" applyAlignment="1">
      <alignment vertical="center" wrapText="1"/>
    </xf>
    <xf numFmtId="0" fontId="17" fillId="9" borderId="31" xfId="0" applyFont="1" applyFill="1" applyBorder="1" applyAlignment="1">
      <alignment horizontal="center" vertical="center" wrapText="1"/>
    </xf>
    <xf numFmtId="0" fontId="17" fillId="9" borderId="31" xfId="0" applyFont="1" applyFill="1" applyBorder="1" applyAlignment="1">
      <alignment vertical="center" wrapText="1"/>
    </xf>
    <xf numFmtId="0" fontId="17" fillId="9" borderId="32" xfId="0" applyFont="1" applyFill="1" applyBorder="1" applyAlignment="1">
      <alignment horizontal="center" vertical="center" wrapText="1"/>
    </xf>
    <xf numFmtId="10" fontId="18" fillId="9" borderId="38" xfId="3" applyNumberFormat="1" applyFont="1" applyFill="1" applyBorder="1" applyAlignment="1">
      <alignment horizontal="center" vertical="center" wrapText="1"/>
    </xf>
    <xf numFmtId="0" fontId="17" fillId="9" borderId="24" xfId="0" applyFont="1" applyFill="1" applyBorder="1" applyAlignment="1">
      <alignment vertical="center" wrapText="1"/>
    </xf>
    <xf numFmtId="0" fontId="17" fillId="9" borderId="36" xfId="0" applyFont="1" applyFill="1" applyBorder="1" applyAlignment="1">
      <alignment horizontal="center" vertical="center" wrapText="1"/>
    </xf>
    <xf numFmtId="0" fontId="17" fillId="9" borderId="36" xfId="0" applyFont="1" applyFill="1" applyBorder="1" applyAlignment="1">
      <alignment vertical="center" wrapText="1"/>
    </xf>
    <xf numFmtId="9" fontId="17" fillId="9" borderId="36" xfId="0" applyNumberFormat="1" applyFont="1" applyFill="1" applyBorder="1" applyAlignment="1">
      <alignment horizontal="center" vertical="center" wrapText="1"/>
    </xf>
    <xf numFmtId="10" fontId="18" fillId="9" borderId="36" xfId="3" applyNumberFormat="1" applyFont="1" applyFill="1" applyBorder="1" applyAlignment="1">
      <alignment horizontal="center" vertical="center" wrapText="1"/>
    </xf>
    <xf numFmtId="0" fontId="17" fillId="9" borderId="25" xfId="0" applyFont="1" applyFill="1" applyBorder="1" applyAlignment="1">
      <alignment horizontal="right" vertical="center" wrapText="1"/>
    </xf>
    <xf numFmtId="0" fontId="17" fillId="9" borderId="8" xfId="0" applyFont="1" applyFill="1" applyBorder="1" applyAlignment="1">
      <alignment horizontal="center" vertical="center" wrapText="1"/>
    </xf>
    <xf numFmtId="0" fontId="17" fillId="9" borderId="8" xfId="0" applyFont="1" applyFill="1" applyBorder="1" applyAlignment="1">
      <alignment horizontal="right" vertical="center" wrapText="1"/>
    </xf>
    <xf numFmtId="0" fontId="17" fillId="9" borderId="8" xfId="0" applyFont="1" applyFill="1" applyBorder="1" applyAlignment="1">
      <alignment vertical="center" wrapText="1"/>
    </xf>
    <xf numFmtId="9" fontId="17" fillId="9" borderId="8" xfId="0" applyNumberFormat="1" applyFont="1" applyFill="1" applyBorder="1" applyAlignment="1">
      <alignment horizontal="center" vertical="center" wrapText="1"/>
    </xf>
    <xf numFmtId="10" fontId="17" fillId="9" borderId="8" xfId="0" applyNumberFormat="1" applyFont="1" applyFill="1" applyBorder="1" applyAlignment="1">
      <alignment horizontal="center" vertical="center" wrapText="1"/>
    </xf>
    <xf numFmtId="0" fontId="17" fillId="9" borderId="8" xfId="0" applyFont="1" applyFill="1" applyBorder="1" applyAlignment="1">
      <alignment horizontal="left" vertical="center" wrapText="1"/>
    </xf>
    <xf numFmtId="10" fontId="17" fillId="9" borderId="24" xfId="0" applyNumberFormat="1" applyFont="1" applyFill="1" applyBorder="1" applyAlignment="1">
      <alignment horizontal="center" vertical="center" wrapText="1"/>
    </xf>
    <xf numFmtId="10" fontId="18" fillId="9" borderId="8" xfId="3" applyNumberFormat="1" applyFont="1" applyFill="1" applyBorder="1" applyAlignment="1">
      <alignment horizontal="center" vertical="center" wrapText="1"/>
    </xf>
    <xf numFmtId="0" fontId="17" fillId="9" borderId="34" xfId="0" applyFont="1" applyFill="1" applyBorder="1" applyAlignment="1">
      <alignment horizontal="center" vertical="center" wrapText="1"/>
    </xf>
    <xf numFmtId="0" fontId="17" fillId="9" borderId="34" xfId="0" applyFont="1" applyFill="1" applyBorder="1" applyAlignment="1">
      <alignment vertical="center" wrapText="1"/>
    </xf>
    <xf numFmtId="9" fontId="17" fillId="9" borderId="24" xfId="0" applyNumberFormat="1" applyFont="1" applyFill="1" applyBorder="1" applyAlignment="1">
      <alignment horizontal="center" vertical="center"/>
    </xf>
    <xf numFmtId="0" fontId="17" fillId="9" borderId="6" xfId="0" applyFont="1" applyFill="1" applyBorder="1" applyAlignment="1">
      <alignment horizontal="center" vertical="center" wrapText="1"/>
    </xf>
    <xf numFmtId="0" fontId="17" fillId="9" borderId="6" xfId="0" applyFont="1" applyFill="1" applyBorder="1" applyAlignment="1">
      <alignment vertical="center" wrapText="1"/>
    </xf>
    <xf numFmtId="0" fontId="17" fillId="9" borderId="25" xfId="0" applyFont="1" applyFill="1" applyBorder="1" applyAlignment="1">
      <alignment vertical="center" wrapText="1"/>
    </xf>
    <xf numFmtId="10" fontId="18" fillId="9" borderId="24" xfId="0" applyNumberFormat="1" applyFont="1" applyFill="1" applyBorder="1" applyAlignment="1">
      <alignment horizontal="center" vertical="center" wrapText="1"/>
    </xf>
    <xf numFmtId="0" fontId="17" fillId="9" borderId="15" xfId="0" applyFont="1" applyFill="1" applyBorder="1" applyAlignment="1">
      <alignment horizontal="right" vertical="center" wrapText="1"/>
    </xf>
    <xf numFmtId="0" fontId="17" fillId="9" borderId="14" xfId="0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left" vertical="center" wrapText="1"/>
    </xf>
    <xf numFmtId="0" fontId="17" fillId="9" borderId="14" xfId="0" applyFont="1" applyFill="1" applyBorder="1" applyAlignment="1">
      <alignment vertical="center" wrapText="1"/>
    </xf>
    <xf numFmtId="10" fontId="18" fillId="9" borderId="14" xfId="0" applyNumberFormat="1" applyFont="1" applyFill="1" applyBorder="1" applyAlignment="1">
      <alignment horizontal="center" vertical="center" wrapText="1"/>
    </xf>
    <xf numFmtId="0" fontId="0" fillId="9" borderId="25" xfId="0" applyFill="1" applyBorder="1" applyAlignment="1">
      <alignment horizontal="right" vertical="center" wrapText="1"/>
    </xf>
    <xf numFmtId="0" fontId="0" fillId="9" borderId="8" xfId="0" applyFill="1" applyBorder="1" applyAlignment="1">
      <alignment horizontal="right" vertical="center" wrapText="1"/>
    </xf>
    <xf numFmtId="0" fontId="0" fillId="9" borderId="8" xfId="0" applyFill="1" applyBorder="1" applyAlignment="1">
      <alignment vertical="center" wrapText="1"/>
    </xf>
    <xf numFmtId="0" fontId="0" fillId="9" borderId="8" xfId="0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textRotation="90" wrapText="1"/>
    </xf>
    <xf numFmtId="0" fontId="16" fillId="2" borderId="15" xfId="0" applyFont="1" applyFill="1" applyBorder="1" applyAlignment="1">
      <alignment horizontal="center" vertical="center" textRotation="90" wrapText="1"/>
    </xf>
    <xf numFmtId="0" fontId="16" fillId="2" borderId="25" xfId="0" applyFont="1" applyFill="1" applyBorder="1" applyAlignment="1">
      <alignment horizontal="center" vertical="center" textRotation="90" wrapText="1"/>
    </xf>
    <xf numFmtId="0" fontId="17" fillId="9" borderId="35" xfId="0" applyFont="1" applyFill="1" applyBorder="1" applyAlignment="1">
      <alignment horizontal="center"/>
    </xf>
    <xf numFmtId="0" fontId="17" fillId="2" borderId="15" xfId="0" applyFont="1" applyFill="1" applyBorder="1" applyAlignment="1">
      <alignment horizontal="center" vertical="center" textRotation="90" wrapText="1"/>
    </xf>
    <xf numFmtId="0" fontId="17" fillId="2" borderId="25" xfId="0" applyFont="1" applyFill="1" applyBorder="1" applyAlignment="1">
      <alignment horizontal="center" vertical="center" textRotation="90" wrapText="1"/>
    </xf>
    <xf numFmtId="49" fontId="32" fillId="0" borderId="30" xfId="6" applyNumberFormat="1" applyBorder="1" applyAlignment="1">
      <alignment vertical="center"/>
    </xf>
    <xf numFmtId="0" fontId="0" fillId="0" borderId="49" xfId="0" applyBorder="1" applyAlignment="1">
      <alignment vertical="center"/>
    </xf>
    <xf numFmtId="49" fontId="36" fillId="0" borderId="30" xfId="6" applyNumberFormat="1" applyFont="1" applyBorder="1" applyAlignment="1">
      <alignment vertical="center"/>
    </xf>
    <xf numFmtId="0" fontId="39" fillId="0" borderId="49" xfId="0" applyFont="1" applyBorder="1" applyAlignment="1">
      <alignment vertical="center"/>
    </xf>
    <xf numFmtId="0" fontId="32" fillId="8" borderId="47" xfId="6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 wrapText="1"/>
    </xf>
    <xf numFmtId="14" fontId="3" fillId="0" borderId="29" xfId="0" applyNumberFormat="1" applyFont="1" applyBorder="1" applyAlignment="1">
      <alignment horizontal="center" vertical="center"/>
    </xf>
    <xf numFmtId="0" fontId="23" fillId="5" borderId="34" xfId="0" applyFont="1" applyFill="1" applyBorder="1" applyAlignment="1">
      <alignment horizontal="left" vertical="center"/>
    </xf>
    <xf numFmtId="0" fontId="23" fillId="5" borderId="35" xfId="0" applyFont="1" applyFill="1" applyBorder="1" applyAlignment="1">
      <alignment horizontal="left" vertical="center"/>
    </xf>
    <xf numFmtId="0" fontId="23" fillId="5" borderId="36" xfId="0" applyFont="1" applyFill="1" applyBorder="1" applyAlignment="1">
      <alignment horizontal="left" vertical="center"/>
    </xf>
    <xf numFmtId="0" fontId="24" fillId="3" borderId="34" xfId="0" applyFont="1" applyFill="1" applyBorder="1" applyAlignment="1">
      <alignment horizontal="center" vertical="center"/>
    </xf>
    <xf numFmtId="0" fontId="24" fillId="3" borderId="36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7" fillId="3" borderId="36" xfId="0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 vertical="center" wrapText="1"/>
    </xf>
    <xf numFmtId="0" fontId="26" fillId="3" borderId="20" xfId="0" applyFont="1" applyFill="1" applyBorder="1" applyAlignment="1">
      <alignment horizontal="center" vertical="center" wrapText="1"/>
    </xf>
    <xf numFmtId="0" fontId="26" fillId="3" borderId="5" xfId="0" applyFont="1" applyFill="1" applyBorder="1" applyAlignment="1">
      <alignment horizontal="center" vertical="center" wrapText="1"/>
    </xf>
    <xf numFmtId="0" fontId="26" fillId="3" borderId="10" xfId="0" applyFont="1" applyFill="1" applyBorder="1" applyAlignment="1">
      <alignment horizontal="center" vertical="center" wrapText="1"/>
    </xf>
    <xf numFmtId="0" fontId="26" fillId="3" borderId="52" xfId="0" applyFont="1" applyFill="1" applyBorder="1" applyAlignment="1">
      <alignment horizontal="center" vertical="center" wrapText="1"/>
    </xf>
    <xf numFmtId="0" fontId="26" fillId="3" borderId="53" xfId="0" applyFont="1" applyFill="1" applyBorder="1" applyAlignment="1">
      <alignment horizontal="center" vertical="center" wrapText="1"/>
    </xf>
    <xf numFmtId="0" fontId="14" fillId="3" borderId="45" xfId="0" applyFont="1" applyFill="1" applyBorder="1" applyAlignment="1">
      <alignment horizontal="center" vertical="center" wrapText="1"/>
    </xf>
    <xf numFmtId="0" fontId="14" fillId="3" borderId="40" xfId="0" applyFont="1" applyFill="1" applyBorder="1" applyAlignment="1">
      <alignment horizontal="center" vertical="center"/>
    </xf>
    <xf numFmtId="0" fontId="14" fillId="3" borderId="4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38" fontId="26" fillId="3" borderId="1" xfId="0" quotePrefix="1" applyNumberFormat="1" applyFont="1" applyFill="1" applyBorder="1" applyAlignment="1">
      <alignment horizontal="center" vertical="center" wrapText="1"/>
    </xf>
    <xf numFmtId="38" fontId="26" fillId="3" borderId="19" xfId="0" applyNumberFormat="1" applyFont="1" applyFill="1" applyBorder="1" applyAlignment="1">
      <alignment horizontal="center" vertical="center" wrapText="1"/>
    </xf>
    <xf numFmtId="38" fontId="26" fillId="3" borderId="4" xfId="0" applyNumberFormat="1" applyFont="1" applyFill="1" applyBorder="1" applyAlignment="1">
      <alignment horizontal="center" vertical="center" wrapText="1"/>
    </xf>
    <xf numFmtId="0" fontId="26" fillId="3" borderId="2" xfId="0" quotePrefix="1" applyFont="1" applyFill="1" applyBorder="1" applyAlignment="1">
      <alignment horizontal="center" vertical="center" wrapText="1"/>
    </xf>
    <xf numFmtId="10" fontId="26" fillId="3" borderId="2" xfId="0" applyNumberFormat="1" applyFont="1" applyFill="1" applyBorder="1" applyAlignment="1">
      <alignment horizontal="center" vertical="center" wrapText="1"/>
    </xf>
    <xf numFmtId="10" fontId="26" fillId="3" borderId="20" xfId="0" applyNumberFormat="1" applyFont="1" applyFill="1" applyBorder="1" applyAlignment="1">
      <alignment horizontal="center" vertical="center" wrapText="1"/>
    </xf>
    <xf numFmtId="10" fontId="26" fillId="3" borderId="5" xfId="0" applyNumberFormat="1" applyFont="1" applyFill="1" applyBorder="1" applyAlignment="1">
      <alignment horizontal="center" vertical="center" wrapText="1"/>
    </xf>
    <xf numFmtId="10" fontId="1" fillId="0" borderId="45" xfId="0" applyNumberFormat="1" applyFont="1" applyBorder="1" applyAlignment="1">
      <alignment horizontal="center" vertical="center" wrapText="1"/>
    </xf>
    <xf numFmtId="10" fontId="1" fillId="0" borderId="40" xfId="0" applyNumberFormat="1" applyFont="1" applyBorder="1" applyAlignment="1">
      <alignment horizontal="center" vertical="center" wrapText="1"/>
    </xf>
    <xf numFmtId="10" fontId="1" fillId="0" borderId="41" xfId="0" applyNumberFormat="1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/>
    </xf>
    <xf numFmtId="0" fontId="27" fillId="5" borderId="26" xfId="0" applyFont="1" applyFill="1" applyBorder="1" applyAlignment="1">
      <alignment horizontal="center" vertical="center" wrapText="1"/>
    </xf>
    <xf numFmtId="0" fontId="27" fillId="5" borderId="47" xfId="0" applyFont="1" applyFill="1" applyBorder="1" applyAlignment="1">
      <alignment horizontal="center" vertical="center" wrapText="1"/>
    </xf>
    <xf numFmtId="0" fontId="27" fillId="5" borderId="28" xfId="0" applyFont="1" applyFill="1" applyBorder="1" applyAlignment="1">
      <alignment horizontal="center" vertical="center" wrapText="1"/>
    </xf>
    <xf numFmtId="0" fontId="27" fillId="5" borderId="23" xfId="0" applyFont="1" applyFill="1" applyBorder="1" applyAlignment="1">
      <alignment horizontal="center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7" fillId="5" borderId="3" xfId="0" applyFont="1" applyFill="1" applyBorder="1" applyAlignment="1">
      <alignment horizontal="center" vertical="center" wrapText="1"/>
    </xf>
    <xf numFmtId="0" fontId="27" fillId="5" borderId="51" xfId="0" applyFont="1" applyFill="1" applyBorder="1" applyAlignment="1">
      <alignment horizontal="center" vertical="center" wrapText="1"/>
    </xf>
    <xf numFmtId="0" fontId="23" fillId="5" borderId="34" xfId="0" applyFont="1" applyFill="1" applyBorder="1" applyAlignment="1">
      <alignment horizontal="center" vertical="center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7" fillId="5" borderId="3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/>
    </xf>
    <xf numFmtId="0" fontId="25" fillId="2" borderId="34" xfId="0" applyFont="1" applyFill="1" applyBorder="1" applyAlignment="1">
      <alignment horizontal="center"/>
    </xf>
    <xf numFmtId="0" fontId="25" fillId="2" borderId="35" xfId="0" applyFont="1" applyFill="1" applyBorder="1" applyAlignment="1">
      <alignment horizontal="center"/>
    </xf>
    <xf numFmtId="0" fontId="25" fillId="2" borderId="36" xfId="0" applyFont="1" applyFill="1" applyBorder="1" applyAlignment="1">
      <alignment horizontal="center"/>
    </xf>
    <xf numFmtId="0" fontId="23" fillId="3" borderId="34" xfId="0" applyFont="1" applyFill="1" applyBorder="1" applyAlignment="1">
      <alignment horizontal="center" vertical="center"/>
    </xf>
    <xf numFmtId="0" fontId="23" fillId="3" borderId="36" xfId="0" applyFont="1" applyFill="1" applyBorder="1" applyAlignment="1">
      <alignment horizontal="center" vertical="center"/>
    </xf>
    <xf numFmtId="15" fontId="1" fillId="3" borderId="34" xfId="0" applyNumberFormat="1" applyFont="1" applyFill="1" applyBorder="1" applyAlignment="1">
      <alignment horizontal="center"/>
    </xf>
  </cellXfs>
  <cellStyles count="7">
    <cellStyle name="Good" xfId="4" builtinId="26"/>
    <cellStyle name="Normal" xfId="0" builtinId="0"/>
    <cellStyle name="Percent" xfId="3" builtinId="5"/>
    <cellStyle name="標準 2" xfId="1" xr:uid="{00000000-0005-0000-0000-000001000000}"/>
    <cellStyle name="標準 3" xfId="6" xr:uid="{55FF7777-E6C1-418F-B1AC-A6242F16C89E}"/>
    <cellStyle name="標準_Thailand_Data_Collection_Note" xfId="2" xr:uid="{C6D68553-8D68-4D57-AE52-E5489E9B1403}"/>
    <cellStyle name="標準_ランニングシート（ブラジル）" xfId="5" xr:uid="{4BA6A956-46DA-4642-AD59-4DFF6BADB93C}"/>
  </cellStyles>
  <dxfs count="10"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colors>
    <mruColors>
      <color rgb="FF98FC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</xdr:row>
          <xdr:rowOff>28575</xdr:rowOff>
        </xdr:from>
        <xdr:to>
          <xdr:col>10</xdr:col>
          <xdr:colOff>3000375</xdr:colOff>
          <xdr:row>4</xdr:row>
          <xdr:rowOff>9525</xdr:rowOff>
        </xdr:to>
        <xdr:sp macro="" textlink="">
          <xdr:nvSpPr>
            <xdr:cNvPr id="16386" name="NoteSummary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99884E2-F559-4F4B-AF7A-286A65909B0A}" name="Table7" displayName="Table7" ref="A3:B10" totalsRowShown="0" headerRowDxfId="9">
  <autoFilter ref="A3:B10" xr:uid="{C1556D2B-81D5-4A5D-84EF-F63208BC77A5}"/>
  <tableColumns count="2">
    <tableColumn id="1" xr3:uid="{7199CDD8-5875-48D3-9467-5CF20DA720E7}" name="Item" dataDxfId="8"/>
    <tableColumn id="2" xr3:uid="{5CAFAEB0-6AEA-481C-B937-019FAF5AA08D}" name="Ready?" dataDxfId="7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36F751-B494-4FB0-B75E-13E03170F6B0}" name="Table8" displayName="Table8" ref="A3:B8" totalsRowShown="0" headerRowDxfId="6" dataDxfId="5">
  <autoFilter ref="A3:B8" xr:uid="{DF3514B2-1214-44C4-8075-281C3A79A9E4}"/>
  <tableColumns count="2">
    <tableColumn id="1" xr3:uid="{90F3D71A-328A-4454-88A5-A82A181E2856}" name="Item" dataDxfId="4"/>
    <tableColumn id="2" xr3:uid="{C7B8B6BC-4710-474A-BBF1-F9EB7B3E0AC8}" name="Ready?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863179-7764-4C3E-AF1D-810DA2A97DC6}" name="Table1" displayName="Table1" ref="A2:A12" totalsRowShown="0">
  <autoFilter ref="A2:A12" xr:uid="{FBB5EF9B-90E8-4B7D-A2D5-4234B2CF9121}"/>
  <tableColumns count="1">
    <tableColumn id="1" xr3:uid="{12A0F171-BEC5-4E09-ABDB-162605C89E94}" name="Note Catego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EF9BE6-E23A-4AA8-A081-13A4DF10B29A}" name="Table3" displayName="Table3" ref="C2:C7" totalsRowShown="0">
  <autoFilter ref="C2:C7" xr:uid="{B07575FF-6ABD-4F08-8F20-91965D99F407}"/>
  <tableColumns count="1">
    <tableColumn id="1" xr3:uid="{0C79CA5B-CC4B-45D4-ACD5-2A3176376711}" name="Expected 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12A0B0-94E4-4F0D-B8D8-0CA72F3E5D1C}" name="Table4" displayName="Table4" ref="E2:E5" totalsRowShown="0">
  <autoFilter ref="E2:E5" xr:uid="{69B8346E-D1B2-441A-A5EE-E0121D46FE65}"/>
  <tableColumns count="1">
    <tableColumn id="1" xr3:uid="{1DED7843-B784-4C91-A83E-7F7B8AC4758D}" name="Shif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0420AEF-B36C-4FF7-9E04-6974B18BA057}" name="Table9" displayName="Table9" ref="G2:G32" totalsRowShown="0">
  <autoFilter ref="G2:G32" xr:uid="{26EC13F6-2BE1-419A-9FC4-867378A88A06}"/>
  <tableColumns count="1">
    <tableColumn id="1" xr3:uid="{0F17A74F-1AE1-4068-B398-2D92A56686CA}" name="Run Shee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9E13DC-9664-4A87-BA72-EE4970E8B4BC}" name="Table11" displayName="Table11" ref="I2:I4" totalsRowShown="0">
  <autoFilter ref="I2:I4" xr:uid="{4F3775F0-73F1-4693-962C-B10578514F89}"/>
  <tableColumns count="1">
    <tableColumn id="1" xr3:uid="{44A6BDFD-01E1-4E84-B68A-D045D80830A3}" name="ECB m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7DF81-DD73-443C-9A02-47D5E52BFC56}">
  <sheetPr codeName="Sheet1">
    <tabColor rgb="FFFFC000"/>
  </sheetPr>
  <dimension ref="A1:AF86"/>
  <sheetViews>
    <sheetView workbookViewId="0">
      <selection activeCell="A31" sqref="A31"/>
    </sheetView>
  </sheetViews>
  <sheetFormatPr defaultRowHeight="11.25"/>
  <cols>
    <col min="1" max="1" width="141.5" customWidth="1"/>
    <col min="2" max="2" width="11.1640625" customWidth="1"/>
  </cols>
  <sheetData>
    <row r="1" spans="1:13" ht="26.25">
      <c r="A1" s="3" t="s">
        <v>0</v>
      </c>
      <c r="B1" s="4"/>
    </row>
    <row r="2" spans="1:13" ht="15">
      <c r="A2" s="4"/>
      <c r="B2" s="4"/>
    </row>
    <row r="3" spans="1:13" ht="15">
      <c r="A3" s="5" t="s">
        <v>1</v>
      </c>
      <c r="B3" s="5" t="s">
        <v>2</v>
      </c>
    </row>
    <row r="4" spans="1:13" ht="15">
      <c r="A4" s="4" t="s">
        <v>3</v>
      </c>
      <c r="B4" s="4"/>
    </row>
    <row r="5" spans="1:13" ht="15">
      <c r="A5" s="4" t="s">
        <v>4</v>
      </c>
      <c r="B5" s="4"/>
    </row>
    <row r="6" spans="1:13" ht="15">
      <c r="A6" s="4" t="s">
        <v>5</v>
      </c>
      <c r="B6" s="4"/>
    </row>
    <row r="7" spans="1:13" ht="15">
      <c r="A7" s="4" t="s">
        <v>6</v>
      </c>
      <c r="B7" s="4"/>
    </row>
    <row r="8" spans="1:13" ht="15">
      <c r="A8" s="4" t="s">
        <v>7</v>
      </c>
      <c r="B8" s="4"/>
    </row>
    <row r="9" spans="1:13" ht="15">
      <c r="A9" s="4" t="s">
        <v>8</v>
      </c>
      <c r="B9" s="4"/>
    </row>
    <row r="10" spans="1:13" ht="15">
      <c r="A10" s="4" t="s">
        <v>9</v>
      </c>
      <c r="B10" s="4"/>
    </row>
    <row r="11" spans="1:13" ht="15">
      <c r="A11" s="4"/>
      <c r="B11" s="4"/>
      <c r="M11" s="21"/>
    </row>
    <row r="12" spans="1:13" ht="11.25" customHeight="1">
      <c r="M12" s="21"/>
    </row>
    <row r="13" spans="1:13" ht="11.25" customHeight="1">
      <c r="M13" s="21"/>
    </row>
    <row r="14" spans="1:13" ht="12" customHeight="1">
      <c r="M14" s="21"/>
    </row>
    <row r="20" spans="19:20" ht="12" thickBot="1"/>
    <row r="21" spans="19:20" ht="14.25">
      <c r="S21" s="23"/>
      <c r="T21" s="27"/>
    </row>
    <row r="22" spans="19:20" ht="14.25">
      <c r="T22" s="28"/>
    </row>
    <row r="23" spans="19:20" ht="14.25">
      <c r="T23" s="28"/>
    </row>
    <row r="24" spans="19:20" ht="15" thickBot="1">
      <c r="T24" s="29"/>
    </row>
    <row r="25" spans="19:20" ht="14.25">
      <c r="T25" s="30"/>
    </row>
    <row r="26" spans="19:20" ht="14.25">
      <c r="T26" s="28"/>
    </row>
    <row r="27" spans="19:20" ht="14.25">
      <c r="T27" s="28"/>
    </row>
    <row r="28" spans="19:20" ht="15" thickBot="1">
      <c r="T28" s="29"/>
    </row>
    <row r="29" spans="19:20" ht="14.25">
      <c r="T29" s="30"/>
    </row>
    <row r="30" spans="19:20" ht="14.25">
      <c r="T30" s="28"/>
    </row>
    <row r="31" spans="19:20" ht="14.25">
      <c r="T31" s="28"/>
    </row>
    <row r="32" spans="19:20" ht="15" thickBot="1">
      <c r="T32" s="29"/>
    </row>
    <row r="33" spans="20:20" ht="14.25">
      <c r="T33" s="30"/>
    </row>
    <row r="34" spans="20:20" ht="14.25">
      <c r="T34" s="28"/>
    </row>
    <row r="35" spans="20:20" ht="14.25">
      <c r="T35" s="28"/>
    </row>
    <row r="36" spans="20:20" ht="15" thickBot="1">
      <c r="T36" s="29"/>
    </row>
    <row r="37" spans="20:20" ht="14.25">
      <c r="T37" s="30"/>
    </row>
    <row r="38" spans="20:20" ht="14.25">
      <c r="T38" s="28"/>
    </row>
    <row r="39" spans="20:20" ht="14.25">
      <c r="T39" s="28"/>
    </row>
    <row r="40" spans="20:20" ht="15" thickBot="1">
      <c r="T40" s="29"/>
    </row>
    <row r="41" spans="20:20" ht="14.25">
      <c r="T41" s="30"/>
    </row>
    <row r="42" spans="20:20" ht="14.25">
      <c r="T42" s="28"/>
    </row>
    <row r="43" spans="20:20" ht="14.25">
      <c r="T43" s="28"/>
    </row>
    <row r="44" spans="20:20" ht="15" thickBot="1">
      <c r="T44" s="29"/>
    </row>
    <row r="45" spans="20:20" ht="14.25">
      <c r="T45" s="30"/>
    </row>
    <row r="46" spans="20:20" ht="14.25">
      <c r="T46" s="28"/>
    </row>
    <row r="47" spans="20:20" ht="14.25">
      <c r="T47" s="28"/>
    </row>
    <row r="48" spans="20:20" ht="15" thickBot="1">
      <c r="T48" s="29"/>
    </row>
    <row r="49" spans="20:28" ht="14.25">
      <c r="T49" s="30"/>
    </row>
    <row r="50" spans="20:28" ht="14.25">
      <c r="T50" s="28"/>
    </row>
    <row r="51" spans="20:28" ht="14.25">
      <c r="T51" s="28"/>
    </row>
    <row r="52" spans="20:28" ht="15" thickBot="1">
      <c r="T52" s="29"/>
    </row>
    <row r="53" spans="20:28" ht="14.25">
      <c r="T53" s="30"/>
    </row>
    <row r="54" spans="20:28" ht="14.25">
      <c r="T54" s="28"/>
    </row>
    <row r="55" spans="20:28" ht="14.25">
      <c r="T55" s="28"/>
    </row>
    <row r="56" spans="20:28" ht="15" thickBot="1">
      <c r="T56" s="29"/>
    </row>
    <row r="57" spans="20:28" ht="14.25">
      <c r="T57" s="30"/>
    </row>
    <row r="58" spans="20:28" ht="14.25">
      <c r="T58" s="28"/>
    </row>
    <row r="59" spans="20:28" ht="15" thickBot="1">
      <c r="T59" s="28"/>
    </row>
    <row r="60" spans="20:28" ht="14.25">
      <c r="T60" s="32"/>
      <c r="U60" s="33"/>
      <c r="V60" s="33"/>
      <c r="W60" s="33"/>
      <c r="X60" s="34"/>
    </row>
    <row r="61" spans="20:28" ht="14.25">
      <c r="T61" s="24"/>
      <c r="U61" s="31"/>
      <c r="V61" s="31"/>
      <c r="W61" s="31"/>
      <c r="X61" s="35"/>
    </row>
    <row r="62" spans="20:28" ht="15" thickBot="1">
      <c r="T62" s="24"/>
      <c r="U62" s="31"/>
      <c r="V62" s="31"/>
      <c r="W62" s="31"/>
      <c r="X62" s="35"/>
    </row>
    <row r="63" spans="20:28" ht="15" thickBot="1">
      <c r="T63" s="25"/>
      <c r="U63" s="36"/>
      <c r="V63" s="36"/>
      <c r="W63" s="36"/>
      <c r="X63" s="32"/>
      <c r="Y63" s="33"/>
      <c r="Z63" s="33"/>
      <c r="AA63" s="33"/>
      <c r="AB63" s="34"/>
    </row>
    <row r="64" spans="20:28" ht="14.25">
      <c r="X64" s="24"/>
      <c r="Y64" s="31"/>
      <c r="Z64" s="31"/>
      <c r="AA64" s="31"/>
      <c r="AB64" s="35"/>
    </row>
    <row r="65" spans="24:32" ht="15" thickBot="1">
      <c r="X65" s="24"/>
      <c r="Y65" s="31"/>
      <c r="Z65" s="31"/>
      <c r="AA65" s="31"/>
      <c r="AB65" s="35"/>
    </row>
    <row r="66" spans="24:32" ht="15" thickBot="1">
      <c r="X66" s="25"/>
      <c r="Y66" s="36"/>
      <c r="Z66" s="36"/>
      <c r="AA66" s="36"/>
      <c r="AB66" s="32"/>
      <c r="AC66" s="33"/>
      <c r="AD66" s="33"/>
      <c r="AE66" s="33"/>
      <c r="AF66" s="34"/>
    </row>
    <row r="67" spans="24:32" ht="14.25">
      <c r="AB67" s="24"/>
      <c r="AC67" s="31"/>
      <c r="AD67" s="31"/>
      <c r="AE67" s="31"/>
      <c r="AF67" s="35"/>
    </row>
    <row r="68" spans="24:32" ht="14.25">
      <c r="AB68" s="24"/>
      <c r="AC68" s="31"/>
      <c r="AD68" s="31"/>
      <c r="AE68" s="31"/>
      <c r="AF68" s="35"/>
    </row>
    <row r="69" spans="24:32" ht="15" thickBot="1">
      <c r="AB69" s="25"/>
      <c r="AC69" s="36"/>
      <c r="AD69" s="36"/>
      <c r="AE69" s="36"/>
      <c r="AF69" s="37"/>
    </row>
    <row r="70" spans="24:32" ht="14.25">
      <c r="AB70" s="32"/>
      <c r="AC70" s="33"/>
      <c r="AD70" s="33"/>
      <c r="AE70" s="33"/>
      <c r="AF70" s="34"/>
    </row>
    <row r="71" spans="24:32" ht="14.25">
      <c r="AB71" s="24"/>
      <c r="AC71" s="31"/>
      <c r="AD71" s="31"/>
      <c r="AE71" s="31"/>
      <c r="AF71" s="35"/>
    </row>
    <row r="72" spans="24:32" ht="14.25">
      <c r="AB72" s="24"/>
      <c r="AC72" s="31"/>
      <c r="AD72" s="31"/>
      <c r="AE72" s="31"/>
      <c r="AF72" s="35"/>
    </row>
    <row r="73" spans="24:32" ht="15" thickBot="1">
      <c r="AB73" s="38"/>
      <c r="AC73" s="39"/>
      <c r="AD73" s="39"/>
      <c r="AE73" s="39"/>
      <c r="AF73" s="40"/>
    </row>
    <row r="74" spans="24:32" ht="14.25">
      <c r="AB74" s="32"/>
      <c r="AC74" s="33"/>
      <c r="AD74" s="33"/>
      <c r="AE74" s="33"/>
      <c r="AF74" s="34"/>
    </row>
    <row r="75" spans="24:32" ht="14.25">
      <c r="AB75" s="24"/>
      <c r="AC75" s="31"/>
      <c r="AD75" s="31"/>
      <c r="AE75" s="31"/>
      <c r="AF75" s="35"/>
    </row>
    <row r="76" spans="24:32" ht="15" thickBot="1">
      <c r="AB76" s="24"/>
      <c r="AC76" s="31"/>
      <c r="AD76" s="31"/>
      <c r="AE76" s="31"/>
      <c r="AF76" s="35"/>
    </row>
    <row r="77" spans="24:32" ht="15" thickBot="1">
      <c r="AB77" s="25"/>
      <c r="AC77" s="36"/>
      <c r="AD77" s="36"/>
      <c r="AE77" s="36"/>
      <c r="AF77" s="123"/>
    </row>
    <row r="78" spans="24:32" ht="11.25" customHeight="1">
      <c r="AF78" s="124"/>
    </row>
    <row r="79" spans="24:32" ht="11.25" customHeight="1" thickBot="1">
      <c r="AF79" s="124"/>
    </row>
    <row r="80" spans="24:32" ht="11.25" customHeight="1">
      <c r="AF80" s="123"/>
    </row>
    <row r="81" spans="32:32" ht="14.25">
      <c r="AF81" s="124"/>
    </row>
    <row r="82" spans="32:32" ht="15" thickBot="1">
      <c r="AF82" s="124"/>
    </row>
    <row r="83" spans="32:32" ht="14.25">
      <c r="AF83" s="123"/>
    </row>
    <row r="84" spans="32:32" ht="14.25">
      <c r="AF84" s="124"/>
    </row>
    <row r="85" spans="32:32" ht="14.25">
      <c r="AF85" s="124"/>
    </row>
    <row r="86" spans="32:32" ht="15" thickBot="1">
      <c r="AF86" s="12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91F98-37FB-4AB3-AE7C-E6ED0A358096}">
  <sheetPr codeName="Sheet2">
    <tabColor rgb="FFFFC000"/>
  </sheetPr>
  <dimension ref="A1:G35"/>
  <sheetViews>
    <sheetView workbookViewId="0">
      <selection activeCell="A8" sqref="A8"/>
    </sheetView>
  </sheetViews>
  <sheetFormatPr defaultRowHeight="11.25"/>
  <cols>
    <col min="1" max="1" width="104.83203125" customWidth="1"/>
    <col min="2" max="2" width="11.1640625" customWidth="1"/>
  </cols>
  <sheetData>
    <row r="1" spans="1:2" ht="26.25">
      <c r="A1" s="3" t="s">
        <v>10</v>
      </c>
      <c r="B1" s="4"/>
    </row>
    <row r="2" spans="1:2" ht="15">
      <c r="A2" s="4"/>
      <c r="B2" s="4"/>
    </row>
    <row r="3" spans="1:2" ht="15">
      <c r="A3" s="5" t="s">
        <v>1</v>
      </c>
      <c r="B3" s="5" t="s">
        <v>2</v>
      </c>
    </row>
    <row r="4" spans="1:2" ht="15">
      <c r="A4" s="4" t="s">
        <v>11</v>
      </c>
      <c r="B4" s="4"/>
    </row>
    <row r="5" spans="1:2" ht="15">
      <c r="A5" s="4" t="s">
        <v>12</v>
      </c>
      <c r="B5" s="4"/>
    </row>
    <row r="6" spans="1:2" ht="15">
      <c r="A6" s="4" t="s">
        <v>13</v>
      </c>
      <c r="B6" s="4"/>
    </row>
    <row r="7" spans="1:2" ht="15">
      <c r="A7" s="4" t="s">
        <v>14</v>
      </c>
      <c r="B7" s="4"/>
    </row>
    <row r="8" spans="1:2" ht="15">
      <c r="A8" s="4" t="s">
        <v>15</v>
      </c>
      <c r="B8" s="4"/>
    </row>
    <row r="9" spans="1:2" ht="15">
      <c r="A9" s="4"/>
      <c r="B9" s="4"/>
    </row>
    <row r="10" spans="1:2" ht="15">
      <c r="A10" s="4"/>
      <c r="B10" s="4"/>
    </row>
    <row r="11" spans="1:2" ht="15">
      <c r="A11" s="4"/>
      <c r="B11" s="4"/>
    </row>
    <row r="12" spans="1:2" ht="15">
      <c r="A12" s="4"/>
      <c r="B12" s="21"/>
    </row>
    <row r="13" spans="1:2" ht="11.25" customHeight="1">
      <c r="B13" s="21"/>
    </row>
    <row r="14" spans="1:2" ht="11.25" customHeight="1">
      <c r="B14" s="21"/>
    </row>
    <row r="15" spans="1:2" ht="12" customHeight="1">
      <c r="B15" s="21"/>
    </row>
    <row r="20" spans="4:7" ht="14.25">
      <c r="D20" s="26"/>
      <c r="E20" s="54"/>
    </row>
    <row r="21" spans="4:7" ht="11.25" customHeight="1">
      <c r="E21" s="55"/>
    </row>
    <row r="22" spans="4:7" ht="11.25" customHeight="1">
      <c r="E22" s="55"/>
    </row>
    <row r="23" spans="4:7" ht="11.25" customHeight="1">
      <c r="E23" s="55"/>
    </row>
    <row r="28" spans="4:7" ht="12" thickBot="1"/>
    <row r="29" spans="4:7" ht="14.25">
      <c r="G29" s="123"/>
    </row>
    <row r="30" spans="4:7" ht="14.25">
      <c r="G30" s="124"/>
    </row>
    <row r="31" spans="4:7" ht="15" thickBot="1">
      <c r="G31" s="124"/>
    </row>
    <row r="32" spans="4:7" ht="14.25">
      <c r="G32" s="123"/>
    </row>
    <row r="33" spans="7:7" ht="14.25">
      <c r="G33" s="124"/>
    </row>
    <row r="34" spans="7:7" ht="14.25">
      <c r="G34" s="124"/>
    </row>
    <row r="35" spans="7:7" ht="15" thickBot="1">
      <c r="G35" s="12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C028-8165-42DD-BDA8-7085FF69EB87}">
  <sheetPr codeName="Sheet3"/>
  <dimension ref="B1:X101"/>
  <sheetViews>
    <sheetView zoomScale="80" zoomScaleNormal="80" workbookViewId="0">
      <selection activeCell="M81" sqref="M81"/>
    </sheetView>
  </sheetViews>
  <sheetFormatPr defaultRowHeight="12.75" outlineLevelRow="2"/>
  <cols>
    <col min="3" max="3" width="19.5" customWidth="1"/>
    <col min="4" max="4" width="9.83203125" bestFit="1" customWidth="1"/>
    <col min="5" max="6" width="9.83203125" customWidth="1"/>
    <col min="7" max="7" width="12.6640625" customWidth="1"/>
    <col min="8" max="8" width="10.83203125" customWidth="1"/>
    <col min="9" max="9" width="10.83203125" style="7" customWidth="1"/>
    <col min="10" max="10" width="10.6640625" style="15" customWidth="1"/>
    <col min="11" max="11" width="10.33203125" customWidth="1"/>
    <col min="12" max="12" width="9.6640625" customWidth="1"/>
  </cols>
  <sheetData>
    <row r="1" spans="2:14" ht="13.5" thickBot="1">
      <c r="C1" s="127"/>
      <c r="D1" s="127"/>
      <c r="E1" s="127"/>
      <c r="F1" s="127"/>
      <c r="G1" s="127"/>
      <c r="H1" s="127"/>
      <c r="I1" s="128"/>
      <c r="J1" s="129"/>
    </row>
    <row r="2" spans="2:14" ht="26.25" thickBot="1">
      <c r="B2" s="178" t="s">
        <v>16</v>
      </c>
      <c r="C2" s="130" t="s">
        <v>17</v>
      </c>
      <c r="D2" s="131" t="s">
        <v>18</v>
      </c>
      <c r="E2" s="131" t="s">
        <v>19</v>
      </c>
      <c r="F2" s="131"/>
      <c r="G2" s="131" t="s">
        <v>20</v>
      </c>
      <c r="H2" s="131" t="s">
        <v>21</v>
      </c>
      <c r="I2" s="132" t="s">
        <v>22</v>
      </c>
      <c r="J2" s="133" t="s">
        <v>23</v>
      </c>
      <c r="K2" s="11"/>
      <c r="L2" s="11"/>
      <c r="M2" s="11"/>
      <c r="N2" s="11"/>
    </row>
    <row r="3" spans="2:14">
      <c r="B3" s="179"/>
      <c r="C3" s="134"/>
      <c r="D3" s="135"/>
      <c r="E3" s="135"/>
      <c r="F3" s="135"/>
      <c r="G3" s="135"/>
      <c r="H3" s="135"/>
      <c r="I3" s="136"/>
      <c r="J3" s="137" t="s">
        <v>24</v>
      </c>
      <c r="K3" s="11"/>
      <c r="L3" s="11"/>
      <c r="M3" s="11"/>
      <c r="N3" s="11"/>
    </row>
    <row r="4" spans="2:14">
      <c r="B4" s="179"/>
      <c r="C4" s="138" t="s">
        <v>25</v>
      </c>
      <c r="D4" s="139"/>
      <c r="E4" s="139"/>
      <c r="F4" s="139"/>
      <c r="G4" s="140"/>
      <c r="H4" s="140"/>
      <c r="I4" s="141">
        <v>0.99</v>
      </c>
      <c r="J4" s="142" t="e">
        <f>((J8*$D8+J9*$D9+J10*$D10+J11*$D11+J12*$D12+J13*$D13+J14*$D14+$D15*J15)+($D17*J17+$D18*J18+$D19*J19+$D20*J20+$D21*J21+$D22*J22+$D23*J23+$D24*J24)+($D26*J26+$D27*J27+$D28*J28+$D29*J29+$D30*J30+$D31*J31+$D32*J32+$D33*J33)+($D38*J38+$D41*J41))/($D34+$D25+$D16+$D7)</f>
        <v>#DIV/0!</v>
      </c>
      <c r="K4" s="11"/>
      <c r="L4" s="11"/>
      <c r="M4" s="11"/>
      <c r="N4" s="11"/>
    </row>
    <row r="5" spans="2:14" ht="13.5" thickBot="1">
      <c r="B5" s="180"/>
      <c r="C5" s="143" t="s">
        <v>26</v>
      </c>
      <c r="D5" s="144"/>
      <c r="E5" s="144"/>
      <c r="F5" s="144"/>
      <c r="G5" s="145"/>
      <c r="H5" s="145"/>
      <c r="I5" s="146"/>
      <c r="J5" s="147" t="e">
        <f>((J50*D50)+(J53*D53)+(J54*D54)+(J55*D55)+(J56*D56)+(J57*D57)+(J58*D58)+(J59*D59)+(J60*D60)+(J62*D62)+(J63*D63)+(J64*D64)+(J65*D65)+(J66*D66)+(J67*D67)+(J68*D68)+(J69*D69)+(J73*D73)+(J80*D80)+(J81*D81)+(J82*D82)+(J83*D83)+(J85*D85)+(J86*D86)+(J87*D87))/(D50+D53+D54+D55+D56+D57+D58+D59+D60+D62+D63+D64+D65+D66+D67+D68+D69+D73+D80+D81+D82+D83+D85+D86+D87)</f>
        <v>#DIV/0!</v>
      </c>
      <c r="K5" s="11"/>
      <c r="L5" s="11"/>
      <c r="M5" s="11"/>
      <c r="N5" s="11"/>
    </row>
    <row r="6" spans="2:14" ht="13.5" thickBot="1">
      <c r="B6" s="8"/>
      <c r="C6" s="181"/>
      <c r="D6" s="181"/>
      <c r="E6" s="181"/>
      <c r="F6" s="181"/>
      <c r="G6" s="181"/>
      <c r="H6" s="181"/>
      <c r="I6" s="181"/>
      <c r="J6" s="181"/>
      <c r="K6" s="11"/>
      <c r="L6" s="11"/>
      <c r="M6" s="11"/>
      <c r="N6" s="11"/>
    </row>
    <row r="7" spans="2:14" ht="26.25" thickBot="1">
      <c r="B7" s="178" t="s">
        <v>27</v>
      </c>
      <c r="C7" s="148" t="s">
        <v>28</v>
      </c>
      <c r="D7" s="149">
        <f>SUM(D8:D15)</f>
        <v>0</v>
      </c>
      <c r="E7" s="149">
        <f>SUM(E8:E15)</f>
        <v>0</v>
      </c>
      <c r="F7" s="149"/>
      <c r="G7" s="150" t="s">
        <v>29</v>
      </c>
      <c r="H7" s="150"/>
      <c r="I7" s="151">
        <v>0.99</v>
      </c>
      <c r="J7" s="152" t="e">
        <f>(J8*D8+J10*D10+J11*D11+J12*D12+J13*D13+J14*D14+J15*D15)/D7</f>
        <v>#DIV/0!</v>
      </c>
      <c r="K7" s="11"/>
      <c r="L7" s="12"/>
      <c r="M7" s="12"/>
      <c r="N7" s="12"/>
    </row>
    <row r="8" spans="2:14" ht="28.5" customHeight="1" outlineLevel="1" thickBot="1">
      <c r="B8" s="182"/>
      <c r="C8" s="153"/>
      <c r="D8" s="154"/>
      <c r="E8" s="154"/>
      <c r="F8" s="154"/>
      <c r="G8" s="155"/>
      <c r="H8" s="156"/>
      <c r="I8" s="157"/>
      <c r="J8" s="158"/>
      <c r="K8" s="11"/>
      <c r="L8" s="11"/>
      <c r="M8" s="11"/>
      <c r="N8" s="11"/>
    </row>
    <row r="9" spans="2:14" ht="28.5" customHeight="1" outlineLevel="1" thickBot="1">
      <c r="B9" s="182"/>
      <c r="C9" s="153"/>
      <c r="D9" s="154"/>
      <c r="E9" s="154"/>
      <c r="F9" s="154"/>
      <c r="G9" s="156"/>
      <c r="H9" s="156"/>
      <c r="I9" s="157"/>
      <c r="J9" s="158"/>
      <c r="K9" s="11"/>
      <c r="L9" s="11"/>
      <c r="M9" s="11"/>
      <c r="N9" s="11"/>
    </row>
    <row r="10" spans="2:14" ht="28.5" customHeight="1" outlineLevel="1" thickBot="1">
      <c r="B10" s="182"/>
      <c r="C10" s="153"/>
      <c r="D10" s="154"/>
      <c r="E10" s="154"/>
      <c r="F10" s="154"/>
      <c r="G10" s="155"/>
      <c r="H10" s="156"/>
      <c r="I10" s="157"/>
      <c r="J10" s="158"/>
      <c r="K10" s="11"/>
      <c r="L10" s="11"/>
      <c r="M10" s="11"/>
      <c r="N10" s="11"/>
    </row>
    <row r="11" spans="2:14" ht="28.5" customHeight="1" outlineLevel="1" thickBot="1">
      <c r="B11" s="182"/>
      <c r="C11" s="153"/>
      <c r="D11" s="154"/>
      <c r="E11" s="154"/>
      <c r="F11" s="154"/>
      <c r="G11" s="155"/>
      <c r="H11" s="156"/>
      <c r="I11" s="157"/>
      <c r="J11" s="158"/>
      <c r="K11" s="11"/>
      <c r="L11" s="11"/>
      <c r="M11" s="11"/>
      <c r="N11" s="11"/>
    </row>
    <row r="12" spans="2:14" ht="28.5" customHeight="1" outlineLevel="1" thickBot="1">
      <c r="B12" s="182"/>
      <c r="C12" s="153"/>
      <c r="D12" s="154"/>
      <c r="E12" s="154"/>
      <c r="F12" s="154"/>
      <c r="G12" s="155"/>
      <c r="H12" s="156"/>
      <c r="I12" s="157"/>
      <c r="J12" s="158"/>
      <c r="K12" s="11"/>
      <c r="L12" s="11"/>
      <c r="M12" s="11"/>
      <c r="N12" s="11"/>
    </row>
    <row r="13" spans="2:14" ht="28.5" customHeight="1" outlineLevel="1" thickBot="1">
      <c r="B13" s="182"/>
      <c r="C13" s="153"/>
      <c r="D13" s="154"/>
      <c r="E13" s="154"/>
      <c r="F13" s="154"/>
      <c r="G13" s="159"/>
      <c r="H13" s="156"/>
      <c r="I13" s="157"/>
      <c r="J13" s="158"/>
      <c r="K13" s="11"/>
      <c r="L13" s="11"/>
      <c r="M13" s="11"/>
      <c r="N13" s="11"/>
    </row>
    <row r="14" spans="2:14" ht="28.5" customHeight="1" outlineLevel="1" thickBot="1">
      <c r="B14" s="182"/>
      <c r="C14" s="153"/>
      <c r="D14" s="154"/>
      <c r="E14" s="154"/>
      <c r="F14" s="154"/>
      <c r="G14" s="155"/>
      <c r="H14" s="156"/>
      <c r="I14" s="157"/>
      <c r="J14" s="158"/>
      <c r="K14" s="11"/>
      <c r="L14" s="11"/>
      <c r="M14" s="11"/>
      <c r="N14" s="11"/>
    </row>
    <row r="15" spans="2:14" ht="28.5" customHeight="1" outlineLevel="1" thickBot="1">
      <c r="B15" s="182"/>
      <c r="C15" s="153"/>
      <c r="D15" s="154"/>
      <c r="E15" s="154"/>
      <c r="F15" s="154"/>
      <c r="G15" s="155"/>
      <c r="H15" s="156"/>
      <c r="I15" s="157"/>
      <c r="J15" s="160"/>
      <c r="K15" s="11"/>
      <c r="L15" s="11"/>
      <c r="M15" s="11"/>
      <c r="N15" s="11"/>
    </row>
    <row r="16" spans="2:14" ht="27.75" customHeight="1" thickBot="1">
      <c r="B16" s="182"/>
      <c r="C16" s="148" t="s">
        <v>30</v>
      </c>
      <c r="D16" s="149">
        <f>SUM(D17:D24)</f>
        <v>0</v>
      </c>
      <c r="E16" s="149">
        <f>SUM(E17:E24)</f>
        <v>0</v>
      </c>
      <c r="F16" s="149"/>
      <c r="G16" s="150" t="s">
        <v>29</v>
      </c>
      <c r="H16" s="150" t="s">
        <v>31</v>
      </c>
      <c r="I16" s="151">
        <v>0.99</v>
      </c>
      <c r="J16" s="161" t="e">
        <f>(J17*D17+D18*J18+J19*D19+J20*D20+J21*D21+J22*D22+J23*D23+J24*D24)/D16</f>
        <v>#DIV/0!</v>
      </c>
      <c r="K16" s="11"/>
      <c r="L16" s="12"/>
      <c r="M16" s="12"/>
      <c r="N16" s="12"/>
    </row>
    <row r="17" spans="2:20" ht="28.5" customHeight="1" outlineLevel="1" thickBot="1">
      <c r="B17" s="182"/>
      <c r="C17" s="153"/>
      <c r="D17" s="162"/>
      <c r="E17" s="162"/>
      <c r="F17" s="162"/>
      <c r="G17" s="163"/>
      <c r="H17" s="148"/>
      <c r="I17" s="164"/>
      <c r="J17" s="126"/>
      <c r="K17" s="11"/>
      <c r="L17" s="12"/>
      <c r="M17" s="12"/>
      <c r="N17" s="12"/>
      <c r="O17" s="13"/>
    </row>
    <row r="18" spans="2:20" ht="28.5" customHeight="1" outlineLevel="1" thickBot="1">
      <c r="B18" s="182"/>
      <c r="C18" s="153"/>
      <c r="D18" s="165"/>
      <c r="E18" s="165"/>
      <c r="F18" s="165"/>
      <c r="G18" s="166"/>
      <c r="H18" s="148"/>
      <c r="I18" s="164"/>
      <c r="J18" s="126"/>
      <c r="K18" s="11"/>
      <c r="L18" s="12"/>
      <c r="M18" s="12"/>
      <c r="N18" s="12"/>
      <c r="O18" s="13"/>
    </row>
    <row r="19" spans="2:20" ht="28.5" customHeight="1" outlineLevel="1" thickBot="1">
      <c r="B19" s="182"/>
      <c r="C19" s="153"/>
      <c r="D19" s="165"/>
      <c r="E19" s="165"/>
      <c r="F19" s="165"/>
      <c r="G19" s="166"/>
      <c r="H19" s="148"/>
      <c r="I19" s="164"/>
      <c r="J19" s="126"/>
      <c r="K19" s="11"/>
      <c r="L19" s="12"/>
      <c r="M19" s="12"/>
      <c r="N19" s="12"/>
      <c r="O19" s="13"/>
    </row>
    <row r="20" spans="2:20" ht="28.5" customHeight="1" outlineLevel="1" thickBot="1">
      <c r="B20" s="182"/>
      <c r="C20" s="153"/>
      <c r="D20" s="165"/>
      <c r="E20" s="165"/>
      <c r="F20" s="165"/>
      <c r="G20" s="166"/>
      <c r="H20" s="148"/>
      <c r="I20" s="164"/>
      <c r="J20" s="126"/>
      <c r="K20" s="11"/>
      <c r="L20" s="12"/>
      <c r="M20" s="12"/>
      <c r="N20" s="12"/>
      <c r="O20" s="13"/>
    </row>
    <row r="21" spans="2:20" ht="28.5" customHeight="1" outlineLevel="2" thickBot="1">
      <c r="B21" s="182"/>
      <c r="C21" s="153"/>
      <c r="D21" s="165"/>
      <c r="E21" s="165"/>
      <c r="F21" s="165"/>
      <c r="G21" s="166"/>
      <c r="H21" s="148"/>
      <c r="I21" s="164"/>
      <c r="J21" s="126"/>
      <c r="K21" s="11"/>
      <c r="L21" s="12"/>
      <c r="M21" s="12"/>
      <c r="N21" s="12"/>
      <c r="O21" s="13"/>
    </row>
    <row r="22" spans="2:20" ht="28.5" customHeight="1" outlineLevel="2" thickBot="1">
      <c r="B22" s="182"/>
      <c r="C22" s="153"/>
      <c r="D22" s="165"/>
      <c r="E22" s="165"/>
      <c r="F22" s="165"/>
      <c r="G22" s="166"/>
      <c r="H22" s="148"/>
      <c r="I22" s="164"/>
      <c r="J22" s="126"/>
      <c r="K22" s="11"/>
      <c r="L22" s="12"/>
      <c r="M22" s="12"/>
      <c r="N22" s="12"/>
      <c r="O22" s="13"/>
    </row>
    <row r="23" spans="2:20" ht="28.5" customHeight="1" outlineLevel="2" thickBot="1">
      <c r="B23" s="182"/>
      <c r="C23" s="153"/>
      <c r="D23" s="165"/>
      <c r="E23" s="165"/>
      <c r="F23" s="165"/>
      <c r="G23" s="166"/>
      <c r="H23" s="148"/>
      <c r="I23" s="164"/>
      <c r="J23" s="126"/>
      <c r="K23" s="11"/>
      <c r="L23" s="12"/>
      <c r="M23" s="12"/>
      <c r="N23" s="12"/>
      <c r="O23" s="13"/>
      <c r="T23" s="14"/>
    </row>
    <row r="24" spans="2:20" ht="28.5" customHeight="1" outlineLevel="2" thickBot="1">
      <c r="B24" s="182"/>
      <c r="C24" s="153"/>
      <c r="D24" s="165"/>
      <c r="E24" s="165"/>
      <c r="F24" s="165"/>
      <c r="G24" s="166"/>
      <c r="H24" s="148"/>
      <c r="I24" s="164"/>
      <c r="J24" s="126"/>
      <c r="K24" s="11"/>
      <c r="L24" s="12"/>
      <c r="M24" s="12"/>
      <c r="N24" s="12"/>
      <c r="O24" s="13"/>
    </row>
    <row r="25" spans="2:20" ht="26.25" thickBot="1">
      <c r="B25" s="182"/>
      <c r="C25" s="167" t="s">
        <v>32</v>
      </c>
      <c r="D25" s="154">
        <f>SUM(D26:D33)</f>
        <v>0</v>
      </c>
      <c r="E25" s="149">
        <f>SUM(E26:E33)</f>
        <v>0</v>
      </c>
      <c r="F25" s="149"/>
      <c r="G25" s="150" t="s">
        <v>29</v>
      </c>
      <c r="H25" s="156" t="s">
        <v>31</v>
      </c>
      <c r="I25" s="157">
        <v>0.99</v>
      </c>
      <c r="J25" s="161" t="e">
        <f>(J26*D26+D27*J27+J28*D28+J29*D29+J30*D30+J31*D31+J32*D32+J33*D33)/D25</f>
        <v>#DIV/0!</v>
      </c>
      <c r="K25" s="11"/>
      <c r="L25" s="12"/>
      <c r="M25" s="12"/>
      <c r="N25" s="12"/>
      <c r="O25" s="9"/>
    </row>
    <row r="26" spans="2:20" ht="28.5" customHeight="1" outlineLevel="1" thickBot="1">
      <c r="B26" s="182"/>
      <c r="C26" s="153"/>
      <c r="D26" s="154"/>
      <c r="E26" s="154"/>
      <c r="F26" s="154"/>
      <c r="G26" s="155"/>
      <c r="H26" s="156"/>
      <c r="I26" s="157"/>
      <c r="J26" s="126"/>
      <c r="K26" s="11"/>
      <c r="L26" s="12"/>
      <c r="M26" s="12"/>
      <c r="N26" s="12"/>
      <c r="O26" s="9"/>
    </row>
    <row r="27" spans="2:20" ht="28.5" customHeight="1" outlineLevel="1" thickBot="1">
      <c r="B27" s="182"/>
      <c r="C27" s="153"/>
      <c r="D27" s="154"/>
      <c r="E27" s="154"/>
      <c r="F27" s="154"/>
      <c r="G27" s="155"/>
      <c r="H27" s="156"/>
      <c r="I27" s="157"/>
      <c r="J27" s="126"/>
      <c r="K27" s="11"/>
      <c r="L27" s="12"/>
      <c r="M27" s="12"/>
      <c r="N27" s="12"/>
      <c r="O27" s="9"/>
    </row>
    <row r="28" spans="2:20" ht="28.5" customHeight="1" outlineLevel="1" thickBot="1">
      <c r="B28" s="182"/>
      <c r="C28" s="153"/>
      <c r="D28" s="154"/>
      <c r="E28" s="154"/>
      <c r="F28" s="154"/>
      <c r="G28" s="155"/>
      <c r="H28" s="156"/>
      <c r="I28" s="157"/>
      <c r="J28" s="126"/>
      <c r="K28" s="11"/>
      <c r="L28" s="12"/>
      <c r="M28" s="12"/>
      <c r="N28" s="12"/>
      <c r="O28" s="9"/>
    </row>
    <row r="29" spans="2:20" ht="28.5" customHeight="1" outlineLevel="1" thickBot="1">
      <c r="B29" s="182"/>
      <c r="C29" s="153"/>
      <c r="D29" s="154"/>
      <c r="E29" s="154"/>
      <c r="F29" s="154"/>
      <c r="G29" s="155"/>
      <c r="H29" s="156"/>
      <c r="I29" s="157"/>
      <c r="J29" s="126"/>
      <c r="K29" s="11"/>
      <c r="L29" s="12"/>
      <c r="M29" s="12"/>
      <c r="N29" s="12"/>
      <c r="O29" s="9"/>
    </row>
    <row r="30" spans="2:20" ht="28.5" customHeight="1" outlineLevel="1" thickBot="1">
      <c r="B30" s="182"/>
      <c r="C30" s="153"/>
      <c r="D30" s="154"/>
      <c r="E30" s="154"/>
      <c r="F30" s="154"/>
      <c r="G30" s="155"/>
      <c r="H30" s="156"/>
      <c r="I30" s="157"/>
      <c r="J30" s="126"/>
      <c r="K30" s="11"/>
      <c r="L30" s="12"/>
      <c r="M30" s="12"/>
      <c r="N30" s="12"/>
      <c r="O30" s="9"/>
    </row>
    <row r="31" spans="2:20" ht="28.5" customHeight="1" outlineLevel="1" thickBot="1">
      <c r="B31" s="182"/>
      <c r="C31" s="153"/>
      <c r="D31" s="154"/>
      <c r="E31" s="154"/>
      <c r="F31" s="154"/>
      <c r="G31" s="155"/>
      <c r="H31" s="156"/>
      <c r="I31" s="157"/>
      <c r="J31" s="126"/>
      <c r="K31" s="11"/>
      <c r="L31" s="12"/>
      <c r="M31" s="12"/>
      <c r="N31" s="12"/>
      <c r="O31" s="9"/>
    </row>
    <row r="32" spans="2:20" ht="28.5" customHeight="1" outlineLevel="1" thickBot="1">
      <c r="B32" s="182"/>
      <c r="C32" s="153"/>
      <c r="D32" s="154"/>
      <c r="E32" s="154"/>
      <c r="F32" s="154"/>
      <c r="G32" s="155"/>
      <c r="H32" s="156"/>
      <c r="I32" s="157"/>
      <c r="J32" s="126"/>
      <c r="K32" s="11"/>
      <c r="L32" s="12"/>
      <c r="M32" s="12"/>
      <c r="N32" s="12"/>
      <c r="O32" s="9"/>
    </row>
    <row r="33" spans="2:20" ht="28.5" customHeight="1" outlineLevel="1" thickBot="1">
      <c r="B33" s="182"/>
      <c r="C33" s="153"/>
      <c r="D33" s="154"/>
      <c r="E33" s="154"/>
      <c r="F33" s="154"/>
      <c r="G33" s="155"/>
      <c r="H33" s="156"/>
      <c r="I33" s="157"/>
      <c r="J33" s="126"/>
      <c r="K33" s="11"/>
      <c r="L33" s="12"/>
      <c r="M33" s="12"/>
      <c r="N33" s="12"/>
    </row>
    <row r="34" spans="2:20" ht="26.25" thickBot="1">
      <c r="B34" s="183"/>
      <c r="C34" s="167" t="s">
        <v>33</v>
      </c>
      <c r="D34" s="154">
        <f>SUM(D35:D42)</f>
        <v>0</v>
      </c>
      <c r="E34" s="149">
        <f>SUM(E35:E42)</f>
        <v>0</v>
      </c>
      <c r="F34" s="149"/>
      <c r="G34" s="150" t="s">
        <v>29</v>
      </c>
      <c r="H34" s="156" t="s">
        <v>31</v>
      </c>
      <c r="I34" s="154" t="s">
        <v>34</v>
      </c>
      <c r="J34" s="168" t="e">
        <f>(J35*D35+D36*J36+J37*D37+J38*D38+J39*D39+J40*D40+J41*D41+J42*D42)/D34</f>
        <v>#DIV/0!</v>
      </c>
      <c r="K34" s="11"/>
      <c r="L34" s="12"/>
      <c r="M34" s="12"/>
      <c r="N34" s="12"/>
    </row>
    <row r="35" spans="2:20" ht="15.75" outlineLevel="1" thickBot="1">
      <c r="B35" s="10"/>
      <c r="C35" s="153"/>
      <c r="D35" s="154"/>
      <c r="E35" s="154"/>
      <c r="F35" s="154"/>
      <c r="G35" s="159"/>
      <c r="H35" s="156" t="s">
        <v>31</v>
      </c>
      <c r="I35" s="154" t="s">
        <v>34</v>
      </c>
      <c r="J35" s="126"/>
      <c r="K35" s="11"/>
      <c r="L35" s="12"/>
      <c r="M35" s="12"/>
      <c r="N35" s="12"/>
    </row>
    <row r="36" spans="2:20" ht="15.75" outlineLevel="1" thickBot="1">
      <c r="B36" s="10"/>
      <c r="C36" s="153"/>
      <c r="D36" s="154"/>
      <c r="E36" s="154"/>
      <c r="F36" s="154"/>
      <c r="G36" s="159"/>
      <c r="H36" s="156" t="s">
        <v>31</v>
      </c>
      <c r="I36" s="154" t="s">
        <v>34</v>
      </c>
      <c r="J36" s="126"/>
      <c r="K36" s="11"/>
      <c r="L36" s="12"/>
      <c r="M36" s="12"/>
      <c r="N36" s="12"/>
      <c r="T36" s="14"/>
    </row>
    <row r="37" spans="2:20" ht="15.75" outlineLevel="1" thickBot="1">
      <c r="B37" s="10"/>
      <c r="C37" s="153"/>
      <c r="D37" s="154"/>
      <c r="E37" s="154"/>
      <c r="F37" s="154"/>
      <c r="G37" s="159"/>
      <c r="H37" s="156" t="s">
        <v>31</v>
      </c>
      <c r="I37" s="154" t="s">
        <v>34</v>
      </c>
      <c r="J37" s="126"/>
      <c r="K37" s="11"/>
      <c r="L37" s="12"/>
      <c r="M37" s="12"/>
      <c r="N37" s="12"/>
    </row>
    <row r="38" spans="2:20" ht="15.75" outlineLevel="1" thickBot="1">
      <c r="B38" s="10"/>
      <c r="C38" s="153"/>
      <c r="D38" s="154"/>
      <c r="E38" s="154"/>
      <c r="F38" s="154"/>
      <c r="G38" s="155"/>
      <c r="H38" s="156" t="s">
        <v>31</v>
      </c>
      <c r="I38" s="154" t="s">
        <v>34</v>
      </c>
      <c r="J38" s="126"/>
      <c r="K38" s="11"/>
      <c r="L38" s="12"/>
      <c r="M38" s="12"/>
      <c r="N38" s="12"/>
    </row>
    <row r="39" spans="2:20" ht="15.75" outlineLevel="1" thickBot="1">
      <c r="B39" s="10"/>
      <c r="C39" s="153"/>
      <c r="D39" s="154"/>
      <c r="E39" s="154"/>
      <c r="F39" s="154"/>
      <c r="G39" s="159"/>
      <c r="H39" s="156" t="s">
        <v>31</v>
      </c>
      <c r="I39" s="154" t="s">
        <v>34</v>
      </c>
      <c r="J39" s="126"/>
      <c r="K39" s="11"/>
      <c r="L39" s="12"/>
      <c r="M39" s="12"/>
      <c r="N39" s="12"/>
    </row>
    <row r="40" spans="2:20" ht="15.75" outlineLevel="1" thickBot="1">
      <c r="B40" s="10"/>
      <c r="C40" s="153"/>
      <c r="D40" s="154"/>
      <c r="E40" s="154"/>
      <c r="F40" s="154"/>
      <c r="G40" s="159"/>
      <c r="H40" s="156" t="s">
        <v>31</v>
      </c>
      <c r="I40" s="154" t="s">
        <v>34</v>
      </c>
      <c r="J40" s="126"/>
      <c r="K40" s="11"/>
      <c r="L40" s="12"/>
      <c r="M40" s="12"/>
      <c r="N40" s="12"/>
    </row>
    <row r="41" spans="2:20" ht="15.75" outlineLevel="1" thickBot="1">
      <c r="B41" s="10"/>
      <c r="C41" s="153"/>
      <c r="D41" s="154"/>
      <c r="E41" s="154"/>
      <c r="F41" s="154"/>
      <c r="G41" s="155"/>
      <c r="H41" s="156" t="s">
        <v>31</v>
      </c>
      <c r="I41" s="154" t="s">
        <v>34</v>
      </c>
      <c r="J41" s="126"/>
      <c r="K41" s="11"/>
      <c r="L41" s="12"/>
      <c r="M41" s="12"/>
      <c r="N41" s="12"/>
    </row>
    <row r="42" spans="2:20" ht="15.75" outlineLevel="1" thickBot="1">
      <c r="B42" s="10"/>
      <c r="C42" s="169"/>
      <c r="D42" s="170"/>
      <c r="E42" s="170"/>
      <c r="F42" s="170"/>
      <c r="G42" s="171"/>
      <c r="H42" s="172" t="s">
        <v>31</v>
      </c>
      <c r="I42" s="170" t="s">
        <v>34</v>
      </c>
      <c r="J42" s="173"/>
      <c r="K42" s="11"/>
      <c r="L42" s="12"/>
      <c r="M42" s="12"/>
      <c r="N42" s="12"/>
    </row>
    <row r="43" spans="2:20" ht="30" customHeight="1" thickBot="1">
      <c r="B43" s="178" t="s">
        <v>35</v>
      </c>
      <c r="C43" s="148" t="s">
        <v>36</v>
      </c>
      <c r="D43" s="149">
        <f>SUM(D44:D51)</f>
        <v>0</v>
      </c>
      <c r="E43" s="149">
        <f>SUM(E44:E51)</f>
        <v>0</v>
      </c>
      <c r="F43" s="149"/>
      <c r="G43" s="150" t="s">
        <v>37</v>
      </c>
      <c r="H43" s="150" t="s">
        <v>38</v>
      </c>
      <c r="I43" s="149" t="s">
        <v>34</v>
      </c>
      <c r="J43" s="161" t="e">
        <f>(J44*D44+D45*J45+J46*D46+J47*D47+J48*D48+J49*D49+J50*D50+J51*D51)/D43</f>
        <v>#DIV/0!</v>
      </c>
      <c r="K43" s="11"/>
      <c r="L43" s="12"/>
      <c r="M43" s="12"/>
      <c r="N43" s="12"/>
    </row>
    <row r="44" spans="2:20" ht="14.45" customHeight="1" outlineLevel="1" thickBot="1">
      <c r="B44" s="179"/>
      <c r="C44" s="153"/>
      <c r="D44" s="154"/>
      <c r="E44" s="154"/>
      <c r="F44" s="154"/>
      <c r="G44" s="159"/>
      <c r="H44" s="156" t="s">
        <v>38</v>
      </c>
      <c r="I44" s="154" t="s">
        <v>34</v>
      </c>
      <c r="J44" s="126"/>
      <c r="K44" s="11"/>
      <c r="L44" s="12"/>
      <c r="M44" s="12"/>
      <c r="N44" s="12"/>
    </row>
    <row r="45" spans="2:20" ht="15.75" customHeight="1" outlineLevel="1" thickBot="1">
      <c r="B45" s="179"/>
      <c r="C45" s="153"/>
      <c r="D45" s="154"/>
      <c r="E45" s="154"/>
      <c r="F45" s="154"/>
      <c r="G45" s="159"/>
      <c r="H45" s="156" t="s">
        <v>38</v>
      </c>
      <c r="I45" s="154" t="s">
        <v>34</v>
      </c>
      <c r="J45" s="126"/>
      <c r="K45" s="11"/>
      <c r="L45" s="12"/>
      <c r="M45" s="12"/>
      <c r="N45" s="12"/>
    </row>
    <row r="46" spans="2:20" ht="15.75" customHeight="1" outlineLevel="1" thickBot="1">
      <c r="B46" s="179"/>
      <c r="C46" s="153"/>
      <c r="D46" s="154"/>
      <c r="E46" s="154"/>
      <c r="F46" s="154"/>
      <c r="G46" s="159"/>
      <c r="H46" s="156" t="s">
        <v>38</v>
      </c>
      <c r="I46" s="154" t="s">
        <v>34</v>
      </c>
      <c r="J46" s="126"/>
      <c r="K46" s="11"/>
      <c r="L46" s="12"/>
      <c r="M46" s="12"/>
      <c r="N46" s="12"/>
    </row>
    <row r="47" spans="2:20" ht="15.75" customHeight="1" outlineLevel="1" thickBot="1">
      <c r="B47" s="179"/>
      <c r="C47" s="153"/>
      <c r="D47" s="154"/>
      <c r="E47" s="154"/>
      <c r="F47" s="154"/>
      <c r="G47" s="159"/>
      <c r="H47" s="156" t="s">
        <v>38</v>
      </c>
      <c r="I47" s="154" t="s">
        <v>34</v>
      </c>
      <c r="J47" s="126"/>
      <c r="K47" s="11"/>
      <c r="L47" s="12"/>
      <c r="M47" s="12"/>
      <c r="N47" s="12"/>
    </row>
    <row r="48" spans="2:20" ht="15.75" customHeight="1" outlineLevel="1" thickBot="1">
      <c r="B48" s="179"/>
      <c r="C48" s="153"/>
      <c r="D48" s="154"/>
      <c r="E48" s="154"/>
      <c r="F48" s="154"/>
      <c r="G48" s="159"/>
      <c r="H48" s="156" t="s">
        <v>38</v>
      </c>
      <c r="I48" s="154" t="s">
        <v>34</v>
      </c>
      <c r="J48" s="126"/>
      <c r="K48" s="11"/>
      <c r="L48" s="12"/>
      <c r="M48" s="12"/>
      <c r="N48" s="12"/>
    </row>
    <row r="49" spans="2:20" ht="15.75" customHeight="1" outlineLevel="1" thickBot="1">
      <c r="B49" s="179"/>
      <c r="C49" s="153"/>
      <c r="D49" s="154"/>
      <c r="E49" s="154"/>
      <c r="F49" s="154"/>
      <c r="G49" s="159"/>
      <c r="H49" s="156" t="s">
        <v>38</v>
      </c>
      <c r="I49" s="154" t="s">
        <v>34</v>
      </c>
      <c r="J49" s="126"/>
      <c r="K49" s="11"/>
      <c r="L49" s="12"/>
      <c r="M49" s="12"/>
      <c r="N49" s="12"/>
    </row>
    <row r="50" spans="2:20" ht="15.75" customHeight="1" outlineLevel="1" thickBot="1">
      <c r="B50" s="179"/>
      <c r="C50" s="153"/>
      <c r="D50" s="154"/>
      <c r="E50" s="154"/>
      <c r="F50" s="154"/>
      <c r="G50" s="155"/>
      <c r="H50" s="156" t="s">
        <v>38</v>
      </c>
      <c r="I50" s="154" t="s">
        <v>34</v>
      </c>
      <c r="J50" s="126"/>
      <c r="K50" s="11"/>
      <c r="L50" s="12"/>
      <c r="M50" s="12"/>
      <c r="N50" s="12"/>
    </row>
    <row r="51" spans="2:20" ht="15.75" customHeight="1" outlineLevel="1" thickBot="1">
      <c r="B51" s="179"/>
      <c r="C51" s="153"/>
      <c r="D51" s="154"/>
      <c r="E51" s="154"/>
      <c r="F51" s="154"/>
      <c r="G51" s="159"/>
      <c r="H51" s="156" t="s">
        <v>38</v>
      </c>
      <c r="I51" s="154" t="s">
        <v>34</v>
      </c>
      <c r="J51" s="126"/>
      <c r="K51" s="11"/>
      <c r="L51" s="12"/>
      <c r="M51" s="12"/>
      <c r="N51" s="12"/>
      <c r="T51" s="14"/>
    </row>
    <row r="52" spans="2:20" ht="31.5" customHeight="1" thickBot="1">
      <c r="B52" s="179"/>
      <c r="C52" s="167" t="s">
        <v>39</v>
      </c>
      <c r="D52" s="154">
        <f>SUM(D53:D60)</f>
        <v>0</v>
      </c>
      <c r="E52" s="149">
        <f>SUM(E53:E60)</f>
        <v>0</v>
      </c>
      <c r="F52" s="149"/>
      <c r="G52" s="150" t="s">
        <v>37</v>
      </c>
      <c r="H52" s="156" t="s">
        <v>38</v>
      </c>
      <c r="I52" s="154" t="s">
        <v>40</v>
      </c>
      <c r="J52" s="161" t="e">
        <f>(J53*D53+D54*J54+J55*D55+J56*D56+J57*D57+J58*D58+J59*D59+J60*D60)/D52</f>
        <v>#DIV/0!</v>
      </c>
      <c r="K52" s="11"/>
      <c r="L52" s="12"/>
      <c r="M52" s="12"/>
      <c r="N52" s="12"/>
      <c r="O52" s="9"/>
    </row>
    <row r="53" spans="2:20" ht="14.45" customHeight="1" outlineLevel="1" thickBot="1">
      <c r="B53" s="179"/>
      <c r="C53" s="153"/>
      <c r="D53" s="154"/>
      <c r="E53" s="154"/>
      <c r="F53" s="154"/>
      <c r="G53" s="155"/>
      <c r="H53" s="156"/>
      <c r="I53" s="154" t="s">
        <v>40</v>
      </c>
      <c r="J53" s="126"/>
      <c r="K53" s="11"/>
      <c r="L53" s="12"/>
      <c r="M53" s="12"/>
      <c r="N53" s="12"/>
      <c r="O53" s="9"/>
    </row>
    <row r="54" spans="2:20" ht="15.75" customHeight="1" outlineLevel="1" thickBot="1">
      <c r="B54" s="179"/>
      <c r="C54" s="153"/>
      <c r="D54" s="154"/>
      <c r="E54" s="154"/>
      <c r="F54" s="154"/>
      <c r="G54" s="155"/>
      <c r="H54" s="156"/>
      <c r="I54" s="154" t="s">
        <v>40</v>
      </c>
      <c r="J54" s="126"/>
      <c r="K54" s="11"/>
      <c r="L54" s="12"/>
      <c r="M54" s="12"/>
      <c r="N54" s="12"/>
      <c r="O54" s="9"/>
    </row>
    <row r="55" spans="2:20" ht="15.75" customHeight="1" outlineLevel="1" thickBot="1">
      <c r="B55" s="179"/>
      <c r="C55" s="153"/>
      <c r="D55" s="154"/>
      <c r="E55" s="154"/>
      <c r="F55" s="154"/>
      <c r="G55" s="155"/>
      <c r="H55" s="156"/>
      <c r="I55" s="154" t="s">
        <v>40</v>
      </c>
      <c r="J55" s="126"/>
      <c r="K55" s="11"/>
      <c r="L55" s="12"/>
      <c r="M55" s="12"/>
      <c r="N55" s="12"/>
      <c r="O55" s="9"/>
    </row>
    <row r="56" spans="2:20" ht="15.75" customHeight="1" outlineLevel="1" thickBot="1">
      <c r="B56" s="179"/>
      <c r="C56" s="153"/>
      <c r="D56" s="154"/>
      <c r="E56" s="154"/>
      <c r="F56" s="154"/>
      <c r="G56" s="155"/>
      <c r="H56" s="156"/>
      <c r="I56" s="154" t="s">
        <v>40</v>
      </c>
      <c r="J56" s="126"/>
      <c r="K56" s="11"/>
      <c r="L56" s="12"/>
      <c r="M56" s="12"/>
      <c r="N56" s="12"/>
      <c r="O56" s="9"/>
    </row>
    <row r="57" spans="2:20" ht="15.75" customHeight="1" outlineLevel="1" thickBot="1">
      <c r="B57" s="179"/>
      <c r="C57" s="153"/>
      <c r="D57" s="154"/>
      <c r="E57" s="154"/>
      <c r="F57" s="154"/>
      <c r="G57" s="155"/>
      <c r="H57" s="156"/>
      <c r="I57" s="154" t="s">
        <v>40</v>
      </c>
      <c r="J57" s="126"/>
      <c r="K57" s="11"/>
      <c r="L57" s="12"/>
      <c r="M57" s="12"/>
      <c r="N57" s="12"/>
      <c r="O57" s="9"/>
    </row>
    <row r="58" spans="2:20" ht="15.75" customHeight="1" outlineLevel="1" thickBot="1">
      <c r="B58" s="179"/>
      <c r="C58" s="153"/>
      <c r="D58" s="154"/>
      <c r="E58" s="154"/>
      <c r="F58" s="154"/>
      <c r="G58" s="155"/>
      <c r="H58" s="156"/>
      <c r="I58" s="154" t="s">
        <v>40</v>
      </c>
      <c r="J58" s="126"/>
      <c r="K58" s="11"/>
      <c r="L58" s="12"/>
      <c r="M58" s="12"/>
      <c r="N58" s="12"/>
      <c r="O58" s="9"/>
    </row>
    <row r="59" spans="2:20" ht="15.75" customHeight="1" outlineLevel="1" thickBot="1">
      <c r="B59" s="179"/>
      <c r="C59" s="153"/>
      <c r="D59" s="154"/>
      <c r="E59" s="154"/>
      <c r="F59" s="154"/>
      <c r="G59" s="155"/>
      <c r="H59" s="156"/>
      <c r="I59" s="154" t="s">
        <v>40</v>
      </c>
      <c r="J59" s="126"/>
      <c r="K59" s="11"/>
      <c r="L59" s="12"/>
      <c r="M59" s="12"/>
      <c r="N59" s="12"/>
      <c r="O59" s="9"/>
    </row>
    <row r="60" spans="2:20" ht="15.75" customHeight="1" outlineLevel="1" thickBot="1">
      <c r="B60" s="179"/>
      <c r="C60" s="153"/>
      <c r="D60" s="154"/>
      <c r="E60" s="154"/>
      <c r="F60" s="154"/>
      <c r="G60" s="155"/>
      <c r="H60" s="156"/>
      <c r="I60" s="154" t="s">
        <v>40</v>
      </c>
      <c r="J60" s="126"/>
      <c r="K60" s="11"/>
      <c r="L60" s="12"/>
      <c r="M60" s="12"/>
      <c r="N60" s="12"/>
    </row>
    <row r="61" spans="2:20" ht="31.9" customHeight="1" thickBot="1">
      <c r="B61" s="179"/>
      <c r="C61" s="167" t="s">
        <v>41</v>
      </c>
      <c r="D61" s="154">
        <f>SUM(D62:D69)</f>
        <v>0</v>
      </c>
      <c r="E61" s="149">
        <f>SUM(E62:E69)</f>
        <v>0</v>
      </c>
      <c r="F61" s="149"/>
      <c r="G61" s="150" t="s">
        <v>37</v>
      </c>
      <c r="H61" s="156" t="s">
        <v>38</v>
      </c>
      <c r="I61" s="154" t="s">
        <v>42</v>
      </c>
      <c r="J61" s="168" t="e">
        <f>(J62*D62+D63*J63+J64*D64+J65*D65+J66*D66+J67*D67+J68*D68+J69*D69)/D61</f>
        <v>#DIV/0!</v>
      </c>
      <c r="K61" s="11"/>
      <c r="L61" s="12"/>
      <c r="M61" s="12"/>
      <c r="N61" s="12"/>
    </row>
    <row r="62" spans="2:20" ht="15.75" customHeight="1" outlineLevel="1" thickBot="1">
      <c r="B62" s="179"/>
      <c r="C62" s="153"/>
      <c r="D62" s="154"/>
      <c r="E62" s="154"/>
      <c r="F62" s="154"/>
      <c r="G62" s="155"/>
      <c r="H62" s="156" t="s">
        <v>38</v>
      </c>
      <c r="I62" s="154" t="s">
        <v>43</v>
      </c>
      <c r="J62" s="126"/>
      <c r="K62" s="11"/>
      <c r="L62" s="12"/>
      <c r="M62" s="12"/>
      <c r="N62" s="12"/>
      <c r="Q62" s="9"/>
    </row>
    <row r="63" spans="2:20" ht="15.75" customHeight="1" outlineLevel="1" thickBot="1">
      <c r="B63" s="179"/>
      <c r="C63" s="153"/>
      <c r="D63" s="154"/>
      <c r="E63" s="154"/>
      <c r="F63" s="154"/>
      <c r="G63" s="155"/>
      <c r="H63" s="156" t="s">
        <v>38</v>
      </c>
      <c r="I63" s="154" t="s">
        <v>43</v>
      </c>
      <c r="J63" s="126"/>
      <c r="K63" s="11"/>
      <c r="L63" s="12"/>
      <c r="M63" s="12"/>
      <c r="N63" s="12"/>
      <c r="O63" s="9"/>
      <c r="Q63" s="9"/>
    </row>
    <row r="64" spans="2:20" ht="15.75" customHeight="1" outlineLevel="1" thickBot="1">
      <c r="B64" s="179"/>
      <c r="C64" s="153"/>
      <c r="D64" s="154"/>
      <c r="E64" s="154"/>
      <c r="F64" s="154"/>
      <c r="G64" s="155"/>
      <c r="H64" s="156" t="s">
        <v>38</v>
      </c>
      <c r="I64" s="154" t="s">
        <v>43</v>
      </c>
      <c r="J64" s="126"/>
      <c r="K64" s="11"/>
      <c r="L64" s="12"/>
      <c r="M64" s="12"/>
      <c r="N64" s="12"/>
      <c r="O64" s="9"/>
      <c r="Q64" s="9"/>
    </row>
    <row r="65" spans="2:17" ht="15.75" customHeight="1" outlineLevel="1" thickBot="1">
      <c r="B65" s="179"/>
      <c r="C65" s="153"/>
      <c r="D65" s="154"/>
      <c r="E65" s="154"/>
      <c r="F65" s="154"/>
      <c r="G65" s="155"/>
      <c r="H65" s="156" t="s">
        <v>38</v>
      </c>
      <c r="I65" s="154" t="s">
        <v>43</v>
      </c>
      <c r="J65" s="126"/>
      <c r="K65" s="11"/>
      <c r="L65" s="12"/>
      <c r="M65" s="12"/>
      <c r="N65" s="12"/>
      <c r="O65" s="9"/>
      <c r="Q65" s="9"/>
    </row>
    <row r="66" spans="2:17" ht="15.75" customHeight="1" outlineLevel="1" thickBot="1">
      <c r="B66" s="179"/>
      <c r="C66" s="153"/>
      <c r="D66" s="154"/>
      <c r="E66" s="154"/>
      <c r="F66" s="154"/>
      <c r="G66" s="155"/>
      <c r="H66" s="156" t="s">
        <v>38</v>
      </c>
      <c r="I66" s="154" t="s">
        <v>43</v>
      </c>
      <c r="J66" s="126"/>
      <c r="K66" s="11"/>
      <c r="L66" s="12"/>
      <c r="M66" s="12"/>
      <c r="N66" s="12"/>
      <c r="O66" s="9"/>
      <c r="Q66" s="9"/>
    </row>
    <row r="67" spans="2:17" ht="15.75" customHeight="1" outlineLevel="1" thickBot="1">
      <c r="B67" s="179"/>
      <c r="C67" s="153"/>
      <c r="D67" s="154"/>
      <c r="E67" s="154"/>
      <c r="F67" s="154"/>
      <c r="G67" s="155"/>
      <c r="H67" s="156" t="s">
        <v>38</v>
      </c>
      <c r="I67" s="154" t="s">
        <v>43</v>
      </c>
      <c r="J67" s="126"/>
      <c r="K67" s="11"/>
      <c r="L67" s="12"/>
      <c r="M67" s="12"/>
      <c r="N67" s="12"/>
      <c r="O67" s="9"/>
      <c r="Q67" s="9"/>
    </row>
    <row r="68" spans="2:17" ht="15.75" customHeight="1" outlineLevel="1" thickBot="1">
      <c r="B68" s="179"/>
      <c r="C68" s="153"/>
      <c r="D68" s="154"/>
      <c r="E68" s="154"/>
      <c r="F68" s="154"/>
      <c r="G68" s="155"/>
      <c r="H68" s="156" t="s">
        <v>38</v>
      </c>
      <c r="I68" s="154" t="s">
        <v>43</v>
      </c>
      <c r="J68" s="126"/>
      <c r="K68" s="11"/>
      <c r="L68" s="12"/>
      <c r="M68" s="12"/>
      <c r="N68" s="12"/>
      <c r="O68" s="9"/>
      <c r="Q68" s="9"/>
    </row>
    <row r="69" spans="2:17" ht="15.75" customHeight="1" outlineLevel="1" thickBot="1">
      <c r="B69" s="179"/>
      <c r="C69" s="153"/>
      <c r="D69" s="154"/>
      <c r="E69" s="154"/>
      <c r="F69" s="154"/>
      <c r="G69" s="155"/>
      <c r="H69" s="156" t="s">
        <v>38</v>
      </c>
      <c r="I69" s="154" t="s">
        <v>43</v>
      </c>
      <c r="J69" s="126"/>
      <c r="K69" s="11"/>
      <c r="L69" s="12"/>
      <c r="M69" s="12"/>
      <c r="N69" s="12"/>
      <c r="O69" s="9"/>
      <c r="Q69" s="9"/>
    </row>
    <row r="70" spans="2:17" ht="26.25" customHeight="1" thickBot="1">
      <c r="B70" s="179"/>
      <c r="C70" s="167" t="s">
        <v>44</v>
      </c>
      <c r="D70" s="154">
        <f>SUM(D71:D78)</f>
        <v>0</v>
      </c>
      <c r="E70" s="149">
        <f>SUM(E71:E78)</f>
        <v>0</v>
      </c>
      <c r="F70" s="154"/>
      <c r="G70" s="156" t="s">
        <v>45</v>
      </c>
      <c r="H70" s="156" t="s">
        <v>38</v>
      </c>
      <c r="I70" s="154" t="s">
        <v>42</v>
      </c>
      <c r="J70" s="168" t="e">
        <f>(J71*D71+D72*J72+J73*D73+J74*D74+J75*D75+J76*D76+J77*D77+J78*D78)/D70</f>
        <v>#DIV/0!</v>
      </c>
      <c r="K70" s="11"/>
      <c r="L70" s="12"/>
      <c r="M70" s="12"/>
      <c r="N70" s="12"/>
      <c r="O70" s="9"/>
    </row>
    <row r="71" spans="2:17" ht="15.75" customHeight="1" outlineLevel="1" thickBot="1">
      <c r="B71" s="179"/>
      <c r="C71" s="153"/>
      <c r="D71" s="154"/>
      <c r="E71" s="154"/>
      <c r="F71" s="154"/>
      <c r="G71" s="155"/>
      <c r="H71" s="156" t="s">
        <v>38</v>
      </c>
      <c r="I71" s="154" t="s">
        <v>43</v>
      </c>
      <c r="J71" s="126"/>
      <c r="K71" s="11"/>
      <c r="L71" s="12"/>
      <c r="M71" s="12"/>
      <c r="N71" s="12"/>
      <c r="O71" s="9"/>
    </row>
    <row r="72" spans="2:17" ht="15.75" customHeight="1" outlineLevel="1" thickBot="1">
      <c r="B72" s="179"/>
      <c r="C72" s="153"/>
      <c r="D72" s="154"/>
      <c r="E72" s="154"/>
      <c r="F72" s="154"/>
      <c r="G72" s="155"/>
      <c r="H72" s="156" t="s">
        <v>38</v>
      </c>
      <c r="I72" s="154" t="s">
        <v>43</v>
      </c>
      <c r="J72" s="126"/>
      <c r="K72" s="11"/>
      <c r="L72" s="12"/>
      <c r="M72" s="12"/>
      <c r="N72" s="12"/>
      <c r="O72" s="9"/>
    </row>
    <row r="73" spans="2:17" ht="15.75" customHeight="1" outlineLevel="1" thickBot="1">
      <c r="B73" s="179"/>
      <c r="C73" s="153"/>
      <c r="D73" s="154"/>
      <c r="E73" s="154"/>
      <c r="F73" s="154"/>
      <c r="G73" s="155"/>
      <c r="H73" s="156" t="s">
        <v>38</v>
      </c>
      <c r="I73" s="154" t="s">
        <v>43</v>
      </c>
      <c r="J73" s="126"/>
      <c r="K73" s="11"/>
      <c r="L73" s="12"/>
      <c r="M73" s="12"/>
      <c r="N73" s="12"/>
      <c r="O73" s="9"/>
    </row>
    <row r="74" spans="2:17" ht="15.75" customHeight="1" outlineLevel="1" thickBot="1">
      <c r="B74" s="179"/>
      <c r="C74" s="153"/>
      <c r="D74" s="154"/>
      <c r="E74" s="154"/>
      <c r="F74" s="154"/>
      <c r="G74" s="155"/>
      <c r="H74" s="156" t="s">
        <v>38</v>
      </c>
      <c r="I74" s="154" t="s">
        <v>43</v>
      </c>
      <c r="J74" s="126"/>
      <c r="K74" s="11"/>
      <c r="L74" s="12"/>
      <c r="M74" s="12"/>
      <c r="N74" s="12"/>
      <c r="O74" s="9"/>
    </row>
    <row r="75" spans="2:17" ht="15.75" customHeight="1" outlineLevel="1" thickBot="1">
      <c r="B75" s="179"/>
      <c r="C75" s="153"/>
      <c r="D75" s="154"/>
      <c r="E75" s="154"/>
      <c r="F75" s="154"/>
      <c r="G75" s="155"/>
      <c r="H75" s="156" t="s">
        <v>38</v>
      </c>
      <c r="I75" s="154" t="s">
        <v>43</v>
      </c>
      <c r="J75" s="126"/>
      <c r="K75" s="11"/>
      <c r="L75" s="12"/>
      <c r="M75" s="12"/>
      <c r="N75" s="12"/>
      <c r="O75" s="9"/>
    </row>
    <row r="76" spans="2:17" ht="15.75" customHeight="1" outlineLevel="1" thickBot="1">
      <c r="B76" s="179"/>
      <c r="C76" s="153"/>
      <c r="D76" s="154"/>
      <c r="E76" s="154"/>
      <c r="F76" s="154"/>
      <c r="G76" s="155"/>
      <c r="H76" s="156" t="s">
        <v>38</v>
      </c>
      <c r="I76" s="154" t="s">
        <v>43</v>
      </c>
      <c r="J76" s="126"/>
      <c r="K76" s="11"/>
      <c r="L76" s="12"/>
      <c r="M76" s="12"/>
      <c r="N76" s="12"/>
      <c r="O76" s="9"/>
    </row>
    <row r="77" spans="2:17" ht="15.75" customHeight="1" outlineLevel="1" thickBot="1">
      <c r="B77" s="179"/>
      <c r="C77" s="153"/>
      <c r="D77" s="154"/>
      <c r="E77" s="154"/>
      <c r="F77" s="154"/>
      <c r="G77" s="155"/>
      <c r="H77" s="156" t="s">
        <v>38</v>
      </c>
      <c r="I77" s="154" t="s">
        <v>43</v>
      </c>
      <c r="J77" s="126"/>
      <c r="K77" s="11"/>
      <c r="L77" s="12"/>
      <c r="M77" s="12"/>
      <c r="N77" s="12"/>
      <c r="O77" s="9"/>
    </row>
    <row r="78" spans="2:17" ht="15.75" customHeight="1" outlineLevel="1" thickBot="1">
      <c r="B78" s="179"/>
      <c r="C78" s="153"/>
      <c r="D78" s="154"/>
      <c r="E78" s="154"/>
      <c r="F78" s="154"/>
      <c r="G78" s="155"/>
      <c r="H78" s="156" t="s">
        <v>38</v>
      </c>
      <c r="I78" s="154" t="s">
        <v>43</v>
      </c>
      <c r="J78" s="126"/>
      <c r="K78" s="11"/>
      <c r="L78" s="12"/>
      <c r="M78" s="12"/>
      <c r="N78" s="12"/>
      <c r="O78" s="9"/>
    </row>
    <row r="79" spans="2:17" ht="26.25" thickBot="1">
      <c r="B79" s="179"/>
      <c r="C79" s="167" t="s">
        <v>46</v>
      </c>
      <c r="D79" s="154">
        <f>SUM(D80:D87)</f>
        <v>0</v>
      </c>
      <c r="E79" s="149">
        <f>SUM(E80:E87)</f>
        <v>0</v>
      </c>
      <c r="F79" s="154">
        <f>SUM(F80:F87)</f>
        <v>0</v>
      </c>
      <c r="G79" s="156" t="s">
        <v>45</v>
      </c>
      <c r="H79" s="156" t="s">
        <v>47</v>
      </c>
      <c r="I79" s="154" t="s">
        <v>42</v>
      </c>
      <c r="J79" s="168" t="e">
        <f>(J80*D80+D81*J81+J82*D82+J83*D83+J84*D84+J85*D85+J86*D86+J87*D87)/D79</f>
        <v>#DIV/0!</v>
      </c>
      <c r="K79" s="11"/>
      <c r="L79" s="12"/>
      <c r="M79" s="12"/>
      <c r="N79" s="12"/>
    </row>
    <row r="80" spans="2:17" ht="15.75" outlineLevel="1" thickBot="1">
      <c r="B80" s="179"/>
      <c r="C80" s="174"/>
      <c r="D80" s="175"/>
      <c r="E80" s="175"/>
      <c r="F80" s="175"/>
      <c r="G80" s="175"/>
      <c r="H80" s="176" t="s">
        <v>47</v>
      </c>
      <c r="I80" s="177" t="s">
        <v>43</v>
      </c>
      <c r="J80" s="126"/>
      <c r="K80" s="11"/>
      <c r="L80" s="12"/>
      <c r="M80" s="12"/>
      <c r="N80" s="12"/>
    </row>
    <row r="81" spans="2:24" ht="15.75" outlineLevel="1" thickBot="1">
      <c r="B81" s="179"/>
      <c r="C81" s="174"/>
      <c r="D81" s="175"/>
      <c r="E81" s="175"/>
      <c r="F81" s="175"/>
      <c r="G81" s="175"/>
      <c r="H81" s="176" t="s">
        <v>47</v>
      </c>
      <c r="I81" s="177" t="s">
        <v>43</v>
      </c>
      <c r="J81" s="126"/>
      <c r="K81" s="11"/>
      <c r="L81" s="12"/>
      <c r="M81" s="12"/>
      <c r="N81" s="12"/>
    </row>
    <row r="82" spans="2:24" ht="15.75" outlineLevel="1" thickBot="1">
      <c r="B82" s="179"/>
      <c r="C82" s="174"/>
      <c r="D82" s="175"/>
      <c r="E82" s="175"/>
      <c r="F82" s="175"/>
      <c r="G82" s="175"/>
      <c r="H82" s="176" t="s">
        <v>47</v>
      </c>
      <c r="I82" s="177" t="s">
        <v>43</v>
      </c>
      <c r="J82" s="126"/>
      <c r="K82" s="11"/>
      <c r="L82" s="12"/>
      <c r="M82" s="12"/>
      <c r="N82" s="12"/>
    </row>
    <row r="83" spans="2:24" ht="15.75" outlineLevel="1" thickBot="1">
      <c r="B83" s="179"/>
      <c r="C83" s="174"/>
      <c r="D83" s="175"/>
      <c r="E83" s="175"/>
      <c r="F83" s="175"/>
      <c r="G83" s="175"/>
      <c r="H83" s="176" t="s">
        <v>47</v>
      </c>
      <c r="I83" s="177" t="s">
        <v>43</v>
      </c>
      <c r="J83" s="126"/>
      <c r="K83" s="11"/>
      <c r="L83" s="12"/>
      <c r="M83" s="12"/>
      <c r="N83" s="12"/>
    </row>
    <row r="84" spans="2:24" ht="15.75" outlineLevel="1" thickBot="1">
      <c r="B84" s="179"/>
      <c r="C84" s="174"/>
      <c r="D84" s="175"/>
      <c r="E84" s="175"/>
      <c r="F84" s="175"/>
      <c r="G84" s="175"/>
      <c r="H84" s="176" t="s">
        <v>47</v>
      </c>
      <c r="I84" s="177" t="s">
        <v>43</v>
      </c>
      <c r="J84" s="126"/>
      <c r="K84" s="11"/>
      <c r="L84" s="12"/>
      <c r="M84" s="12"/>
      <c r="N84" s="12"/>
    </row>
    <row r="85" spans="2:24" ht="15.75" outlineLevel="1" thickBot="1">
      <c r="B85" s="179"/>
      <c r="C85" s="174"/>
      <c r="D85" s="175"/>
      <c r="E85" s="175"/>
      <c r="F85" s="175"/>
      <c r="G85" s="175"/>
      <c r="H85" s="176" t="s">
        <v>47</v>
      </c>
      <c r="I85" s="177" t="s">
        <v>43</v>
      </c>
      <c r="J85" s="126"/>
      <c r="K85" s="11"/>
      <c r="L85" s="12"/>
      <c r="M85" s="12"/>
      <c r="N85" s="12"/>
    </row>
    <row r="86" spans="2:24" ht="15.75" outlineLevel="1" thickBot="1">
      <c r="B86" s="179"/>
      <c r="C86" s="174"/>
      <c r="D86" s="175"/>
      <c r="E86" s="175"/>
      <c r="F86" s="175"/>
      <c r="G86" s="175"/>
      <c r="H86" s="176" t="s">
        <v>47</v>
      </c>
      <c r="I86" s="177" t="s">
        <v>43</v>
      </c>
      <c r="J86" s="126"/>
      <c r="K86" s="11"/>
      <c r="L86" s="12"/>
      <c r="M86" s="12"/>
      <c r="N86" s="12"/>
    </row>
    <row r="87" spans="2:24" ht="15.75" outlineLevel="1" thickBot="1">
      <c r="B87" s="180"/>
      <c r="C87" s="174"/>
      <c r="D87" s="175"/>
      <c r="E87" s="175"/>
      <c r="F87" s="175"/>
      <c r="G87" s="175"/>
      <c r="H87" s="176" t="s">
        <v>47</v>
      </c>
      <c r="I87" s="177" t="s">
        <v>43</v>
      </c>
      <c r="J87" s="126"/>
      <c r="K87" s="11"/>
      <c r="L87" s="12"/>
      <c r="M87" s="12">
        <v>15</v>
      </c>
      <c r="N87" s="12"/>
    </row>
    <row r="88" spans="2:24">
      <c r="C88" s="127"/>
      <c r="D88" s="127"/>
      <c r="E88" s="127"/>
      <c r="F88" s="127"/>
      <c r="G88" s="127"/>
      <c r="H88" s="127"/>
      <c r="I88" s="128"/>
      <c r="J88" s="129"/>
    </row>
    <row r="89" spans="2:24">
      <c r="C89" s="127"/>
      <c r="D89" s="127"/>
      <c r="E89" s="127"/>
      <c r="F89" s="127"/>
      <c r="G89" s="127"/>
      <c r="H89" s="127"/>
      <c r="I89" s="128"/>
      <c r="J89" s="129"/>
    </row>
    <row r="90" spans="2:24">
      <c r="C90" s="127"/>
      <c r="D90" s="127"/>
      <c r="E90" s="127"/>
      <c r="F90" s="127"/>
      <c r="G90" s="127"/>
      <c r="H90" s="127"/>
      <c r="I90" s="128"/>
      <c r="J90" s="129"/>
    </row>
    <row r="91" spans="2:24" ht="13.5" thickBot="1"/>
    <row r="92" spans="2:24" ht="12.75" customHeight="1" thickBot="1">
      <c r="T92" s="22"/>
    </row>
    <row r="93" spans="2:24" ht="12.75" customHeight="1" thickBot="1">
      <c r="T93" s="22"/>
    </row>
    <row r="94" spans="2:24" ht="12.75" customHeight="1" thickBot="1">
      <c r="T94" s="22"/>
    </row>
    <row r="95" spans="2:24" ht="13.5" customHeight="1">
      <c r="T95" s="32"/>
      <c r="U95" s="33"/>
      <c r="V95" s="33"/>
      <c r="W95" s="33"/>
      <c r="X95" s="34"/>
    </row>
    <row r="96" spans="2:24" ht="14.25">
      <c r="T96" s="24"/>
      <c r="U96" s="31"/>
      <c r="V96" s="31"/>
      <c r="W96" s="31"/>
      <c r="X96" s="35"/>
    </row>
    <row r="97" spans="20:24" ht="15" thickBot="1">
      <c r="T97" s="24"/>
      <c r="U97" s="31"/>
      <c r="V97" s="31"/>
      <c r="W97" s="31"/>
      <c r="X97" s="35"/>
    </row>
    <row r="98" spans="20:24" ht="15" thickBot="1">
      <c r="T98" s="25"/>
      <c r="U98" s="36"/>
      <c r="V98" s="36"/>
      <c r="W98" s="36"/>
      <c r="X98" s="123"/>
    </row>
    <row r="99" spans="20:24" ht="14.25">
      <c r="X99" s="124"/>
    </row>
    <row r="100" spans="20:24" ht="14.25">
      <c r="X100" s="124"/>
    </row>
    <row r="101" spans="20:24" ht="15" thickBot="1">
      <c r="X101" s="125"/>
    </row>
  </sheetData>
  <mergeCells count="4">
    <mergeCell ref="B43:B87"/>
    <mergeCell ref="B2:B5"/>
    <mergeCell ref="C6:J6"/>
    <mergeCell ref="B7:B3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C4EA-E949-484D-B2F4-A1232AA01733}">
  <sheetPr codeName="Sheet7">
    <tabColor rgb="FF00B0F0"/>
  </sheetPr>
  <dimension ref="A1:P32"/>
  <sheetViews>
    <sheetView tabSelected="1" workbookViewId="0">
      <selection activeCell="F19" sqref="F19"/>
    </sheetView>
  </sheetViews>
  <sheetFormatPr defaultColWidth="12" defaultRowHeight="15"/>
  <cols>
    <col min="1" max="1" width="9.33203125" style="107" customWidth="1"/>
    <col min="2" max="2" width="6.83203125" style="107" customWidth="1"/>
    <col min="3" max="3" width="9.5" style="107" customWidth="1"/>
    <col min="4" max="10" width="19.6640625" style="107" customWidth="1"/>
    <col min="11" max="11" width="109.5" style="107" bestFit="1" customWidth="1"/>
    <col min="12" max="12" width="154.1640625" style="107" bestFit="1" customWidth="1"/>
    <col min="13" max="16384" width="12" style="107"/>
  </cols>
  <sheetData>
    <row r="1" spans="1:16" s="105" customFormat="1" ht="23.25">
      <c r="A1" s="189" t="s">
        <v>48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03"/>
      <c r="M1" s="103"/>
      <c r="N1" s="103"/>
      <c r="O1" s="103"/>
      <c r="P1" s="104"/>
    </row>
    <row r="2" spans="1:16">
      <c r="A2" s="106"/>
      <c r="B2" s="106"/>
      <c r="C2" s="106"/>
      <c r="D2" s="106"/>
      <c r="E2" s="106"/>
      <c r="F2" s="106"/>
      <c r="G2" s="106"/>
      <c r="H2" s="106"/>
    </row>
    <row r="3" spans="1:16" customFormat="1">
      <c r="A3" s="190" t="s">
        <v>49</v>
      </c>
      <c r="B3" s="190"/>
      <c r="C3" s="191" t="s">
        <v>50</v>
      </c>
      <c r="D3" s="191"/>
      <c r="E3" s="191"/>
      <c r="F3" s="108" t="s">
        <v>51</v>
      </c>
      <c r="G3" s="192"/>
      <c r="H3" s="192"/>
      <c r="I3" s="107"/>
      <c r="J3" s="107"/>
      <c r="K3" s="107"/>
      <c r="L3" s="21"/>
    </row>
    <row r="4" spans="1:16" customFormat="1" ht="23.25">
      <c r="A4" s="190" t="s">
        <v>52</v>
      </c>
      <c r="B4" s="190"/>
      <c r="C4" s="193"/>
      <c r="D4" s="191"/>
      <c r="E4" s="191"/>
      <c r="F4" s="108" t="s">
        <v>53</v>
      </c>
      <c r="G4" s="192"/>
      <c r="H4" s="192"/>
      <c r="I4" s="107"/>
      <c r="J4" s="109"/>
      <c r="K4" s="107"/>
      <c r="L4" s="21"/>
    </row>
    <row r="5" spans="1:16" ht="21">
      <c r="A5" s="110"/>
    </row>
    <row r="6" spans="1:16">
      <c r="I6" s="111"/>
      <c r="J6" s="111"/>
      <c r="K6" s="112"/>
    </row>
    <row r="7" spans="1:16" s="115" customFormat="1" ht="30">
      <c r="A7" s="113" t="s">
        <v>54</v>
      </c>
      <c r="B7" s="188" t="s">
        <v>55</v>
      </c>
      <c r="C7" s="188"/>
      <c r="D7" s="114" t="s">
        <v>56</v>
      </c>
      <c r="E7" s="114" t="s">
        <v>57</v>
      </c>
      <c r="F7" s="114" t="s">
        <v>58</v>
      </c>
      <c r="G7" s="114" t="s">
        <v>59</v>
      </c>
      <c r="H7" s="114" t="s">
        <v>60</v>
      </c>
      <c r="I7" s="114" t="s">
        <v>61</v>
      </c>
      <c r="J7" s="114" t="s">
        <v>62</v>
      </c>
      <c r="K7" s="114" t="s">
        <v>63</v>
      </c>
    </row>
    <row r="8" spans="1:16">
      <c r="A8" s="116">
        <v>0</v>
      </c>
      <c r="B8" s="184" t="s">
        <v>64</v>
      </c>
      <c r="C8" s="185"/>
      <c r="D8" s="117"/>
      <c r="E8" s="117"/>
      <c r="F8" s="117"/>
      <c r="G8" s="117"/>
      <c r="H8" s="117"/>
      <c r="I8" s="117"/>
      <c r="J8" s="117"/>
      <c r="K8" s="118"/>
    </row>
    <row r="9" spans="1:16">
      <c r="A9" s="116">
        <v>1</v>
      </c>
      <c r="B9" s="184" t="s">
        <v>65</v>
      </c>
      <c r="C9" s="185"/>
      <c r="D9" s="117"/>
      <c r="E9" s="117"/>
      <c r="F9" s="117"/>
      <c r="G9" s="117"/>
      <c r="H9" s="117"/>
      <c r="I9" s="117"/>
      <c r="J9" s="117"/>
      <c r="K9" s="118"/>
    </row>
    <row r="10" spans="1:16">
      <c r="A10" s="116">
        <v>2</v>
      </c>
      <c r="B10" s="184" t="s">
        <v>66</v>
      </c>
      <c r="C10" s="185"/>
      <c r="D10" s="117"/>
      <c r="E10" s="117"/>
      <c r="F10" s="117"/>
      <c r="G10" s="117"/>
      <c r="H10" s="117"/>
      <c r="I10" s="117"/>
      <c r="J10" s="117"/>
      <c r="K10" s="118"/>
    </row>
    <row r="11" spans="1:16">
      <c r="A11" s="116">
        <v>3</v>
      </c>
      <c r="B11" s="184" t="s">
        <v>67</v>
      </c>
      <c r="C11" s="185"/>
      <c r="D11" s="117"/>
      <c r="E11" s="117"/>
      <c r="F11" s="117"/>
      <c r="G11" s="117"/>
      <c r="H11" s="117"/>
      <c r="I11" s="117"/>
      <c r="J11" s="117"/>
      <c r="K11" s="118"/>
    </row>
    <row r="12" spans="1:16">
      <c r="A12" s="116">
        <v>4</v>
      </c>
      <c r="B12" s="184" t="s">
        <v>68</v>
      </c>
      <c r="C12" s="185"/>
      <c r="D12" s="117"/>
      <c r="E12" s="117"/>
      <c r="F12" s="117"/>
      <c r="G12" s="117"/>
      <c r="H12" s="117"/>
      <c r="I12" s="117"/>
      <c r="J12" s="117"/>
      <c r="K12" s="118"/>
    </row>
    <row r="13" spans="1:16">
      <c r="A13" s="116">
        <v>5</v>
      </c>
      <c r="B13" s="184" t="s">
        <v>69</v>
      </c>
      <c r="C13" s="185"/>
      <c r="D13" s="117"/>
      <c r="E13" s="117"/>
      <c r="F13" s="117"/>
      <c r="G13" s="117"/>
      <c r="H13" s="117"/>
      <c r="I13" s="117"/>
      <c r="J13" s="117"/>
      <c r="K13" s="118"/>
    </row>
    <row r="14" spans="1:16">
      <c r="A14" s="116">
        <v>6</v>
      </c>
      <c r="B14" s="184" t="s">
        <v>70</v>
      </c>
      <c r="C14" s="185"/>
      <c r="D14" s="117"/>
      <c r="E14" s="117">
        <v>100</v>
      </c>
      <c r="F14" s="117">
        <v>88</v>
      </c>
      <c r="G14" s="117">
        <v>62</v>
      </c>
      <c r="H14" s="117"/>
      <c r="I14" s="117"/>
      <c r="J14" s="117"/>
      <c r="K14" s="118"/>
    </row>
    <row r="15" spans="1:16">
      <c r="A15" s="116">
        <v>7</v>
      </c>
      <c r="B15" s="184" t="s">
        <v>71</v>
      </c>
      <c r="C15" s="185"/>
      <c r="D15" s="117"/>
      <c r="E15" s="117"/>
      <c r="F15" s="117"/>
      <c r="G15" s="117"/>
      <c r="H15" s="117"/>
      <c r="I15" s="117"/>
      <c r="J15" s="117"/>
      <c r="K15" s="118"/>
    </row>
    <row r="16" spans="1:16">
      <c r="A16" s="116">
        <v>8</v>
      </c>
      <c r="B16" s="184" t="s">
        <v>72</v>
      </c>
      <c r="C16" s="185"/>
      <c r="D16" s="117"/>
      <c r="E16" s="117"/>
      <c r="F16" s="117"/>
      <c r="G16" s="117"/>
      <c r="H16" s="117"/>
      <c r="I16" s="117"/>
      <c r="J16" s="117"/>
      <c r="K16" s="118"/>
    </row>
    <row r="17" spans="1:16">
      <c r="A17" s="116">
        <v>9</v>
      </c>
      <c r="B17" s="186" t="s">
        <v>73</v>
      </c>
      <c r="C17" s="187"/>
      <c r="D17" s="117"/>
      <c r="E17" s="117"/>
      <c r="F17" s="117"/>
      <c r="G17" s="117"/>
      <c r="H17" s="117"/>
      <c r="I17" s="117"/>
      <c r="J17" s="117"/>
      <c r="K17" s="118" t="s">
        <v>74</v>
      </c>
    </row>
    <row r="18" spans="1:16">
      <c r="A18" s="116">
        <v>10</v>
      </c>
      <c r="B18" s="184"/>
      <c r="C18" s="185"/>
      <c r="D18" s="117"/>
      <c r="E18" s="117"/>
      <c r="F18" s="117"/>
      <c r="G18" s="117"/>
      <c r="H18" s="117"/>
      <c r="I18" s="117"/>
      <c r="J18" s="117"/>
      <c r="K18" s="118"/>
    </row>
    <row r="19" spans="1:16">
      <c r="A19" s="116">
        <v>11</v>
      </c>
      <c r="B19" s="184"/>
      <c r="C19" s="185"/>
      <c r="D19" s="117"/>
      <c r="E19" s="117"/>
      <c r="F19" s="117"/>
      <c r="G19" s="117"/>
      <c r="H19" s="117"/>
      <c r="I19" s="117"/>
      <c r="J19" s="117"/>
      <c r="K19" s="118"/>
    </row>
    <row r="20" spans="1:16">
      <c r="A20" s="116">
        <v>12</v>
      </c>
      <c r="B20" s="184"/>
      <c r="C20" s="185"/>
      <c r="D20" s="117"/>
      <c r="E20" s="117"/>
      <c r="F20" s="117"/>
      <c r="G20" s="117"/>
      <c r="H20" s="117"/>
      <c r="I20" s="117"/>
      <c r="J20" s="117"/>
      <c r="K20" s="118"/>
    </row>
    <row r="21" spans="1:16">
      <c r="A21" s="116">
        <v>13</v>
      </c>
      <c r="B21" s="184"/>
      <c r="C21" s="185"/>
      <c r="D21" s="117"/>
      <c r="E21" s="117"/>
      <c r="F21" s="117"/>
      <c r="G21" s="117"/>
      <c r="H21" s="117"/>
      <c r="I21" s="117"/>
      <c r="J21" s="117"/>
      <c r="K21" s="118"/>
    </row>
    <row r="22" spans="1:16">
      <c r="A22" s="116">
        <v>14</v>
      </c>
      <c r="B22" s="184"/>
      <c r="C22" s="185"/>
      <c r="D22" s="117"/>
      <c r="E22" s="117"/>
      <c r="F22" s="117"/>
      <c r="G22" s="117"/>
      <c r="H22" s="117"/>
      <c r="I22" s="117"/>
      <c r="J22" s="117"/>
      <c r="K22" s="118"/>
    </row>
    <row r="24" spans="1:16">
      <c r="D24" s="119"/>
    </row>
    <row r="25" spans="1:16">
      <c r="D25" s="120"/>
    </row>
    <row r="26" spans="1:16">
      <c r="D26" s="121"/>
    </row>
    <row r="28" spans="1:16" ht="15.75" thickBot="1">
      <c r="F28" s="122"/>
    </row>
    <row r="29" spans="1:16">
      <c r="F29" s="122"/>
      <c r="P29" s="123"/>
    </row>
    <row r="30" spans="1:16">
      <c r="P30" s="124"/>
    </row>
    <row r="31" spans="1:16">
      <c r="P31" s="124"/>
    </row>
    <row r="32" spans="1:16" ht="15.75" thickBot="1">
      <c r="P32" s="125"/>
    </row>
  </sheetData>
  <mergeCells count="23">
    <mergeCell ref="B7:C7"/>
    <mergeCell ref="A1:K1"/>
    <mergeCell ref="A3:B3"/>
    <mergeCell ref="C3:E3"/>
    <mergeCell ref="G3:H3"/>
    <mergeCell ref="A4:B4"/>
    <mergeCell ref="C4:E4"/>
    <mergeCell ref="G4:H4"/>
    <mergeCell ref="B18:C18"/>
    <mergeCell ref="B19:C19"/>
    <mergeCell ref="B20:C20"/>
    <mergeCell ref="B21:C21"/>
    <mergeCell ref="B22:C22"/>
    <mergeCell ref="B13:C13"/>
    <mergeCell ref="B14:C14"/>
    <mergeCell ref="B15:C15"/>
    <mergeCell ref="B16:C16"/>
    <mergeCell ref="B17:C17"/>
    <mergeCell ref="B8:C8"/>
    <mergeCell ref="B9:C9"/>
    <mergeCell ref="B10:C10"/>
    <mergeCell ref="B11:C11"/>
    <mergeCell ref="B12:C12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86" r:id="rId4" name="NoteSummary">
          <controlPr defaultSize="0" autoLine="0" r:id="rId5">
            <anchor moveWithCells="1">
              <from>
                <xdr:col>10</xdr:col>
                <xdr:colOff>133350</xdr:colOff>
                <xdr:row>2</xdr:row>
                <xdr:rowOff>28575</xdr:rowOff>
              </from>
              <to>
                <xdr:col>10</xdr:col>
                <xdr:colOff>3000375</xdr:colOff>
                <xdr:row>3</xdr:row>
                <xdr:rowOff>285750</xdr:rowOff>
              </to>
            </anchor>
          </controlPr>
        </control>
      </mc:Choice>
      <mc:Fallback>
        <control shapeId="16386" r:id="rId4" name="NoteSummar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06A0-9B36-4705-A87D-286D3BB0F7B9}">
  <sheetPr codeName="Sheet14">
    <tabColor rgb="FF00B0F0"/>
  </sheetPr>
  <dimension ref="A1:AM137"/>
  <sheetViews>
    <sheetView showGridLines="0" showZeros="0" topLeftCell="A3" zoomScale="80" zoomScaleNormal="80" workbookViewId="0">
      <selection activeCell="F23" sqref="F23:F26"/>
    </sheetView>
  </sheetViews>
  <sheetFormatPr defaultRowHeight="14.25"/>
  <cols>
    <col min="1" max="1" width="11.83203125" style="16" customWidth="1"/>
    <col min="2" max="5" width="14.83203125" style="1" customWidth="1"/>
    <col min="6" max="6" width="17" style="1" customWidth="1"/>
    <col min="7" max="9" width="14.83203125" style="1" customWidth="1"/>
    <col min="10" max="10" width="14.83203125" style="16" customWidth="1"/>
    <col min="11" max="11" width="16.5" style="6" customWidth="1"/>
    <col min="12" max="15" width="16.5" style="1" customWidth="1"/>
    <col min="16" max="17" width="17.83203125" style="1" customWidth="1"/>
    <col min="18" max="20" width="15.6640625" style="1" customWidth="1"/>
    <col min="21" max="21" width="19.1640625" style="1" customWidth="1"/>
    <col min="22" max="22" width="18.5" style="1" customWidth="1"/>
    <col min="23" max="23" width="44.33203125" style="1" customWidth="1"/>
    <col min="24" max="217" width="9.33203125" style="1"/>
    <col min="218" max="218" width="6" style="1" bestFit="1" customWidth="1"/>
    <col min="219" max="219" width="14" style="1" customWidth="1"/>
    <col min="220" max="220" width="13.33203125" style="1" customWidth="1"/>
    <col min="221" max="221" width="13.5" style="1" customWidth="1"/>
    <col min="222" max="222" width="9.33203125" style="1"/>
    <col min="223" max="223" width="8.6640625" style="1" customWidth="1"/>
    <col min="224" max="224" width="6" style="1" customWidth="1"/>
    <col min="225" max="225" width="8.33203125" style="1" customWidth="1"/>
    <col min="226" max="229" width="10" style="1" customWidth="1"/>
    <col min="230" max="230" width="9" style="1" bestFit="1" customWidth="1"/>
    <col min="231" max="259" width="7.5" style="1" customWidth="1"/>
    <col min="260" max="260" width="11.1640625" style="1" bestFit="1" customWidth="1"/>
    <col min="261" max="265" width="16.5" style="1" customWidth="1"/>
    <col min="266" max="266" width="11.6640625" style="1" bestFit="1" customWidth="1"/>
    <col min="267" max="267" width="27.5" style="1" customWidth="1"/>
    <col min="268" max="268" width="57.6640625" style="1" customWidth="1"/>
    <col min="269" max="272" width="4.1640625" style="1" customWidth="1"/>
    <col min="273" max="273" width="15.5" style="1" customWidth="1"/>
    <col min="274" max="473" width="9.33203125" style="1"/>
    <col min="474" max="474" width="6" style="1" bestFit="1" customWidth="1"/>
    <col min="475" max="475" width="14" style="1" customWidth="1"/>
    <col min="476" max="476" width="13.33203125" style="1" customWidth="1"/>
    <col min="477" max="477" width="13.5" style="1" customWidth="1"/>
    <col min="478" max="478" width="9.33203125" style="1"/>
    <col min="479" max="479" width="8.6640625" style="1" customWidth="1"/>
    <col min="480" max="480" width="6" style="1" customWidth="1"/>
    <col min="481" max="481" width="8.33203125" style="1" customWidth="1"/>
    <col min="482" max="485" width="10" style="1" customWidth="1"/>
    <col min="486" max="486" width="9" style="1" bestFit="1" customWidth="1"/>
    <col min="487" max="515" width="7.5" style="1" customWidth="1"/>
    <col min="516" max="516" width="11.1640625" style="1" bestFit="1" customWidth="1"/>
    <col min="517" max="521" width="16.5" style="1" customWidth="1"/>
    <col min="522" max="522" width="11.6640625" style="1" bestFit="1" customWidth="1"/>
    <col min="523" max="523" width="27.5" style="1" customWidth="1"/>
    <col min="524" max="524" width="57.6640625" style="1" customWidth="1"/>
    <col min="525" max="528" width="4.1640625" style="1" customWidth="1"/>
    <col min="529" max="529" width="15.5" style="1" customWidth="1"/>
    <col min="530" max="729" width="9.33203125" style="1"/>
    <col min="730" max="730" width="6" style="1" bestFit="1" customWidth="1"/>
    <col min="731" max="731" width="14" style="1" customWidth="1"/>
    <col min="732" max="732" width="13.33203125" style="1" customWidth="1"/>
    <col min="733" max="733" width="13.5" style="1" customWidth="1"/>
    <col min="734" max="734" width="9.33203125" style="1"/>
    <col min="735" max="735" width="8.6640625" style="1" customWidth="1"/>
    <col min="736" max="736" width="6" style="1" customWidth="1"/>
    <col min="737" max="737" width="8.33203125" style="1" customWidth="1"/>
    <col min="738" max="741" width="10" style="1" customWidth="1"/>
    <col min="742" max="742" width="9" style="1" bestFit="1" customWidth="1"/>
    <col min="743" max="771" width="7.5" style="1" customWidth="1"/>
    <col min="772" max="772" width="11.1640625" style="1" bestFit="1" customWidth="1"/>
    <col min="773" max="777" width="16.5" style="1" customWidth="1"/>
    <col min="778" max="778" width="11.6640625" style="1" bestFit="1" customWidth="1"/>
    <col min="779" max="779" width="27.5" style="1" customWidth="1"/>
    <col min="780" max="780" width="57.6640625" style="1" customWidth="1"/>
    <col min="781" max="784" width="4.1640625" style="1" customWidth="1"/>
    <col min="785" max="785" width="15.5" style="1" customWidth="1"/>
    <col min="786" max="985" width="9.33203125" style="1"/>
    <col min="986" max="986" width="6" style="1" bestFit="1" customWidth="1"/>
    <col min="987" max="987" width="14" style="1" customWidth="1"/>
    <col min="988" max="988" width="13.33203125" style="1" customWidth="1"/>
    <col min="989" max="989" width="13.5" style="1" customWidth="1"/>
    <col min="990" max="990" width="9.33203125" style="1"/>
    <col min="991" max="991" width="8.6640625" style="1" customWidth="1"/>
    <col min="992" max="992" width="6" style="1" customWidth="1"/>
    <col min="993" max="993" width="8.33203125" style="1" customWidth="1"/>
    <col min="994" max="997" width="10" style="1" customWidth="1"/>
    <col min="998" max="998" width="9" style="1" bestFit="1" customWidth="1"/>
    <col min="999" max="1027" width="7.5" style="1" customWidth="1"/>
    <col min="1028" max="1028" width="11.1640625" style="1" bestFit="1" customWidth="1"/>
    <col min="1029" max="1033" width="16.5" style="1" customWidth="1"/>
    <col min="1034" max="1034" width="11.6640625" style="1" bestFit="1" customWidth="1"/>
    <col min="1035" max="1035" width="27.5" style="1" customWidth="1"/>
    <col min="1036" max="1036" width="57.6640625" style="1" customWidth="1"/>
    <col min="1037" max="1040" width="4.1640625" style="1" customWidth="1"/>
    <col min="1041" max="1041" width="15.5" style="1" customWidth="1"/>
    <col min="1042" max="1241" width="9.33203125" style="1"/>
    <col min="1242" max="1242" width="6" style="1" bestFit="1" customWidth="1"/>
    <col min="1243" max="1243" width="14" style="1" customWidth="1"/>
    <col min="1244" max="1244" width="13.33203125" style="1" customWidth="1"/>
    <col min="1245" max="1245" width="13.5" style="1" customWidth="1"/>
    <col min="1246" max="1246" width="9.33203125" style="1"/>
    <col min="1247" max="1247" width="8.6640625" style="1" customWidth="1"/>
    <col min="1248" max="1248" width="6" style="1" customWidth="1"/>
    <col min="1249" max="1249" width="8.33203125" style="1" customWidth="1"/>
    <col min="1250" max="1253" width="10" style="1" customWidth="1"/>
    <col min="1254" max="1254" width="9" style="1" bestFit="1" customWidth="1"/>
    <col min="1255" max="1283" width="7.5" style="1" customWidth="1"/>
    <col min="1284" max="1284" width="11.1640625" style="1" bestFit="1" customWidth="1"/>
    <col min="1285" max="1289" width="16.5" style="1" customWidth="1"/>
    <col min="1290" max="1290" width="11.6640625" style="1" bestFit="1" customWidth="1"/>
    <col min="1291" max="1291" width="27.5" style="1" customWidth="1"/>
    <col min="1292" max="1292" width="57.6640625" style="1" customWidth="1"/>
    <col min="1293" max="1296" width="4.1640625" style="1" customWidth="1"/>
    <col min="1297" max="1297" width="15.5" style="1" customWidth="1"/>
    <col min="1298" max="1497" width="9.33203125" style="1"/>
    <col min="1498" max="1498" width="6" style="1" bestFit="1" customWidth="1"/>
    <col min="1499" max="1499" width="14" style="1" customWidth="1"/>
    <col min="1500" max="1500" width="13.33203125" style="1" customWidth="1"/>
    <col min="1501" max="1501" width="13.5" style="1" customWidth="1"/>
    <col min="1502" max="1502" width="9.33203125" style="1"/>
    <col min="1503" max="1503" width="8.6640625" style="1" customWidth="1"/>
    <col min="1504" max="1504" width="6" style="1" customWidth="1"/>
    <col min="1505" max="1505" width="8.33203125" style="1" customWidth="1"/>
    <col min="1506" max="1509" width="10" style="1" customWidth="1"/>
    <col min="1510" max="1510" width="9" style="1" bestFit="1" customWidth="1"/>
    <col min="1511" max="1539" width="7.5" style="1" customWidth="1"/>
    <col min="1540" max="1540" width="11.1640625" style="1" bestFit="1" customWidth="1"/>
    <col min="1541" max="1545" width="16.5" style="1" customWidth="1"/>
    <col min="1546" max="1546" width="11.6640625" style="1" bestFit="1" customWidth="1"/>
    <col min="1547" max="1547" width="27.5" style="1" customWidth="1"/>
    <col min="1548" max="1548" width="57.6640625" style="1" customWidth="1"/>
    <col min="1549" max="1552" width="4.1640625" style="1" customWidth="1"/>
    <col min="1553" max="1553" width="15.5" style="1" customWidth="1"/>
    <col min="1554" max="1753" width="9.33203125" style="1"/>
    <col min="1754" max="1754" width="6" style="1" bestFit="1" customWidth="1"/>
    <col min="1755" max="1755" width="14" style="1" customWidth="1"/>
    <col min="1756" max="1756" width="13.33203125" style="1" customWidth="1"/>
    <col min="1757" max="1757" width="13.5" style="1" customWidth="1"/>
    <col min="1758" max="1758" width="9.33203125" style="1"/>
    <col min="1759" max="1759" width="8.6640625" style="1" customWidth="1"/>
    <col min="1760" max="1760" width="6" style="1" customWidth="1"/>
    <col min="1761" max="1761" width="8.33203125" style="1" customWidth="1"/>
    <col min="1762" max="1765" width="10" style="1" customWidth="1"/>
    <col min="1766" max="1766" width="9" style="1" bestFit="1" customWidth="1"/>
    <col min="1767" max="1795" width="7.5" style="1" customWidth="1"/>
    <col min="1796" max="1796" width="11.1640625" style="1" bestFit="1" customWidth="1"/>
    <col min="1797" max="1801" width="16.5" style="1" customWidth="1"/>
    <col min="1802" max="1802" width="11.6640625" style="1" bestFit="1" customWidth="1"/>
    <col min="1803" max="1803" width="27.5" style="1" customWidth="1"/>
    <col min="1804" max="1804" width="57.6640625" style="1" customWidth="1"/>
    <col min="1805" max="1808" width="4.1640625" style="1" customWidth="1"/>
    <col min="1809" max="1809" width="15.5" style="1" customWidth="1"/>
    <col min="1810" max="2009" width="9.33203125" style="1"/>
    <col min="2010" max="2010" width="6" style="1" bestFit="1" customWidth="1"/>
    <col min="2011" max="2011" width="14" style="1" customWidth="1"/>
    <col min="2012" max="2012" width="13.33203125" style="1" customWidth="1"/>
    <col min="2013" max="2013" width="13.5" style="1" customWidth="1"/>
    <col min="2014" max="2014" width="9.33203125" style="1"/>
    <col min="2015" max="2015" width="8.6640625" style="1" customWidth="1"/>
    <col min="2016" max="2016" width="6" style="1" customWidth="1"/>
    <col min="2017" max="2017" width="8.33203125" style="1" customWidth="1"/>
    <col min="2018" max="2021" width="10" style="1" customWidth="1"/>
    <col min="2022" max="2022" width="9" style="1" bestFit="1" customWidth="1"/>
    <col min="2023" max="2051" width="7.5" style="1" customWidth="1"/>
    <col min="2052" max="2052" width="11.1640625" style="1" bestFit="1" customWidth="1"/>
    <col min="2053" max="2057" width="16.5" style="1" customWidth="1"/>
    <col min="2058" max="2058" width="11.6640625" style="1" bestFit="1" customWidth="1"/>
    <col min="2059" max="2059" width="27.5" style="1" customWidth="1"/>
    <col min="2060" max="2060" width="57.6640625" style="1" customWidth="1"/>
    <col min="2061" max="2064" width="4.1640625" style="1" customWidth="1"/>
    <col min="2065" max="2065" width="15.5" style="1" customWidth="1"/>
    <col min="2066" max="2265" width="9.33203125" style="1"/>
    <col min="2266" max="2266" width="6" style="1" bestFit="1" customWidth="1"/>
    <col min="2267" max="2267" width="14" style="1" customWidth="1"/>
    <col min="2268" max="2268" width="13.33203125" style="1" customWidth="1"/>
    <col min="2269" max="2269" width="13.5" style="1" customWidth="1"/>
    <col min="2270" max="2270" width="9.33203125" style="1"/>
    <col min="2271" max="2271" width="8.6640625" style="1" customWidth="1"/>
    <col min="2272" max="2272" width="6" style="1" customWidth="1"/>
    <col min="2273" max="2273" width="8.33203125" style="1" customWidth="1"/>
    <col min="2274" max="2277" width="10" style="1" customWidth="1"/>
    <col min="2278" max="2278" width="9" style="1" bestFit="1" customWidth="1"/>
    <col min="2279" max="2307" width="7.5" style="1" customWidth="1"/>
    <col min="2308" max="2308" width="11.1640625" style="1" bestFit="1" customWidth="1"/>
    <col min="2309" max="2313" width="16.5" style="1" customWidth="1"/>
    <col min="2314" max="2314" width="11.6640625" style="1" bestFit="1" customWidth="1"/>
    <col min="2315" max="2315" width="27.5" style="1" customWidth="1"/>
    <col min="2316" max="2316" width="57.6640625" style="1" customWidth="1"/>
    <col min="2317" max="2320" width="4.1640625" style="1" customWidth="1"/>
    <col min="2321" max="2321" width="15.5" style="1" customWidth="1"/>
    <col min="2322" max="2521" width="9.33203125" style="1"/>
    <col min="2522" max="2522" width="6" style="1" bestFit="1" customWidth="1"/>
    <col min="2523" max="2523" width="14" style="1" customWidth="1"/>
    <col min="2524" max="2524" width="13.33203125" style="1" customWidth="1"/>
    <col min="2525" max="2525" width="13.5" style="1" customWidth="1"/>
    <col min="2526" max="2526" width="9.33203125" style="1"/>
    <col min="2527" max="2527" width="8.6640625" style="1" customWidth="1"/>
    <col min="2528" max="2528" width="6" style="1" customWidth="1"/>
    <col min="2529" max="2529" width="8.33203125" style="1" customWidth="1"/>
    <col min="2530" max="2533" width="10" style="1" customWidth="1"/>
    <col min="2534" max="2534" width="9" style="1" bestFit="1" customWidth="1"/>
    <col min="2535" max="2563" width="7.5" style="1" customWidth="1"/>
    <col min="2564" max="2564" width="11.1640625" style="1" bestFit="1" customWidth="1"/>
    <col min="2565" max="2569" width="16.5" style="1" customWidth="1"/>
    <col min="2570" max="2570" width="11.6640625" style="1" bestFit="1" customWidth="1"/>
    <col min="2571" max="2571" width="27.5" style="1" customWidth="1"/>
    <col min="2572" max="2572" width="57.6640625" style="1" customWidth="1"/>
    <col min="2573" max="2576" width="4.1640625" style="1" customWidth="1"/>
    <col min="2577" max="2577" width="15.5" style="1" customWidth="1"/>
    <col min="2578" max="2777" width="9.33203125" style="1"/>
    <col min="2778" max="2778" width="6" style="1" bestFit="1" customWidth="1"/>
    <col min="2779" max="2779" width="14" style="1" customWidth="1"/>
    <col min="2780" max="2780" width="13.33203125" style="1" customWidth="1"/>
    <col min="2781" max="2781" width="13.5" style="1" customWidth="1"/>
    <col min="2782" max="2782" width="9.33203125" style="1"/>
    <col min="2783" max="2783" width="8.6640625" style="1" customWidth="1"/>
    <col min="2784" max="2784" width="6" style="1" customWidth="1"/>
    <col min="2785" max="2785" width="8.33203125" style="1" customWidth="1"/>
    <col min="2786" max="2789" width="10" style="1" customWidth="1"/>
    <col min="2790" max="2790" width="9" style="1" bestFit="1" customWidth="1"/>
    <col min="2791" max="2819" width="7.5" style="1" customWidth="1"/>
    <col min="2820" max="2820" width="11.1640625" style="1" bestFit="1" customWidth="1"/>
    <col min="2821" max="2825" width="16.5" style="1" customWidth="1"/>
    <col min="2826" max="2826" width="11.6640625" style="1" bestFit="1" customWidth="1"/>
    <col min="2827" max="2827" width="27.5" style="1" customWidth="1"/>
    <col min="2828" max="2828" width="57.6640625" style="1" customWidth="1"/>
    <col min="2829" max="2832" width="4.1640625" style="1" customWidth="1"/>
    <col min="2833" max="2833" width="15.5" style="1" customWidth="1"/>
    <col min="2834" max="3033" width="9.33203125" style="1"/>
    <col min="3034" max="3034" width="6" style="1" bestFit="1" customWidth="1"/>
    <col min="3035" max="3035" width="14" style="1" customWidth="1"/>
    <col min="3036" max="3036" width="13.33203125" style="1" customWidth="1"/>
    <col min="3037" max="3037" width="13.5" style="1" customWidth="1"/>
    <col min="3038" max="3038" width="9.33203125" style="1"/>
    <col min="3039" max="3039" width="8.6640625" style="1" customWidth="1"/>
    <col min="3040" max="3040" width="6" style="1" customWidth="1"/>
    <col min="3041" max="3041" width="8.33203125" style="1" customWidth="1"/>
    <col min="3042" max="3045" width="10" style="1" customWidth="1"/>
    <col min="3046" max="3046" width="9" style="1" bestFit="1" customWidth="1"/>
    <col min="3047" max="3075" width="7.5" style="1" customWidth="1"/>
    <col min="3076" max="3076" width="11.1640625" style="1" bestFit="1" customWidth="1"/>
    <col min="3077" max="3081" width="16.5" style="1" customWidth="1"/>
    <col min="3082" max="3082" width="11.6640625" style="1" bestFit="1" customWidth="1"/>
    <col min="3083" max="3083" width="27.5" style="1" customWidth="1"/>
    <col min="3084" max="3084" width="57.6640625" style="1" customWidth="1"/>
    <col min="3085" max="3088" width="4.1640625" style="1" customWidth="1"/>
    <col min="3089" max="3089" width="15.5" style="1" customWidth="1"/>
    <col min="3090" max="3289" width="9.33203125" style="1"/>
    <col min="3290" max="3290" width="6" style="1" bestFit="1" customWidth="1"/>
    <col min="3291" max="3291" width="14" style="1" customWidth="1"/>
    <col min="3292" max="3292" width="13.33203125" style="1" customWidth="1"/>
    <col min="3293" max="3293" width="13.5" style="1" customWidth="1"/>
    <col min="3294" max="3294" width="9.33203125" style="1"/>
    <col min="3295" max="3295" width="8.6640625" style="1" customWidth="1"/>
    <col min="3296" max="3296" width="6" style="1" customWidth="1"/>
    <col min="3297" max="3297" width="8.33203125" style="1" customWidth="1"/>
    <col min="3298" max="3301" width="10" style="1" customWidth="1"/>
    <col min="3302" max="3302" width="9" style="1" bestFit="1" customWidth="1"/>
    <col min="3303" max="3331" width="7.5" style="1" customWidth="1"/>
    <col min="3332" max="3332" width="11.1640625" style="1" bestFit="1" customWidth="1"/>
    <col min="3333" max="3337" width="16.5" style="1" customWidth="1"/>
    <col min="3338" max="3338" width="11.6640625" style="1" bestFit="1" customWidth="1"/>
    <col min="3339" max="3339" width="27.5" style="1" customWidth="1"/>
    <col min="3340" max="3340" width="57.6640625" style="1" customWidth="1"/>
    <col min="3341" max="3344" width="4.1640625" style="1" customWidth="1"/>
    <col min="3345" max="3345" width="15.5" style="1" customWidth="1"/>
    <col min="3346" max="3545" width="9.33203125" style="1"/>
    <col min="3546" max="3546" width="6" style="1" bestFit="1" customWidth="1"/>
    <col min="3547" max="3547" width="14" style="1" customWidth="1"/>
    <col min="3548" max="3548" width="13.33203125" style="1" customWidth="1"/>
    <col min="3549" max="3549" width="13.5" style="1" customWidth="1"/>
    <col min="3550" max="3550" width="9.33203125" style="1"/>
    <col min="3551" max="3551" width="8.6640625" style="1" customWidth="1"/>
    <col min="3552" max="3552" width="6" style="1" customWidth="1"/>
    <col min="3553" max="3553" width="8.33203125" style="1" customWidth="1"/>
    <col min="3554" max="3557" width="10" style="1" customWidth="1"/>
    <col min="3558" max="3558" width="9" style="1" bestFit="1" customWidth="1"/>
    <col min="3559" max="3587" width="7.5" style="1" customWidth="1"/>
    <col min="3588" max="3588" width="11.1640625" style="1" bestFit="1" customWidth="1"/>
    <col min="3589" max="3593" width="16.5" style="1" customWidth="1"/>
    <col min="3594" max="3594" width="11.6640625" style="1" bestFit="1" customWidth="1"/>
    <col min="3595" max="3595" width="27.5" style="1" customWidth="1"/>
    <col min="3596" max="3596" width="57.6640625" style="1" customWidth="1"/>
    <col min="3597" max="3600" width="4.1640625" style="1" customWidth="1"/>
    <col min="3601" max="3601" width="15.5" style="1" customWidth="1"/>
    <col min="3602" max="3801" width="9.33203125" style="1"/>
    <col min="3802" max="3802" width="6" style="1" bestFit="1" customWidth="1"/>
    <col min="3803" max="3803" width="14" style="1" customWidth="1"/>
    <col min="3804" max="3804" width="13.33203125" style="1" customWidth="1"/>
    <col min="3805" max="3805" width="13.5" style="1" customWidth="1"/>
    <col min="3806" max="3806" width="9.33203125" style="1"/>
    <col min="3807" max="3807" width="8.6640625" style="1" customWidth="1"/>
    <col min="3808" max="3808" width="6" style="1" customWidth="1"/>
    <col min="3809" max="3809" width="8.33203125" style="1" customWidth="1"/>
    <col min="3810" max="3813" width="10" style="1" customWidth="1"/>
    <col min="3814" max="3814" width="9" style="1" bestFit="1" customWidth="1"/>
    <col min="3815" max="3843" width="7.5" style="1" customWidth="1"/>
    <col min="3844" max="3844" width="11.1640625" style="1" bestFit="1" customWidth="1"/>
    <col min="3845" max="3849" width="16.5" style="1" customWidth="1"/>
    <col min="3850" max="3850" width="11.6640625" style="1" bestFit="1" customWidth="1"/>
    <col min="3851" max="3851" width="27.5" style="1" customWidth="1"/>
    <col min="3852" max="3852" width="57.6640625" style="1" customWidth="1"/>
    <col min="3853" max="3856" width="4.1640625" style="1" customWidth="1"/>
    <col min="3857" max="3857" width="15.5" style="1" customWidth="1"/>
    <col min="3858" max="4057" width="9.33203125" style="1"/>
    <col min="4058" max="4058" width="6" style="1" bestFit="1" customWidth="1"/>
    <col min="4059" max="4059" width="14" style="1" customWidth="1"/>
    <col min="4060" max="4060" width="13.33203125" style="1" customWidth="1"/>
    <col min="4061" max="4061" width="13.5" style="1" customWidth="1"/>
    <col min="4062" max="4062" width="9.33203125" style="1"/>
    <col min="4063" max="4063" width="8.6640625" style="1" customWidth="1"/>
    <col min="4064" max="4064" width="6" style="1" customWidth="1"/>
    <col min="4065" max="4065" width="8.33203125" style="1" customWidth="1"/>
    <col min="4066" max="4069" width="10" style="1" customWidth="1"/>
    <col min="4070" max="4070" width="9" style="1" bestFit="1" customWidth="1"/>
    <col min="4071" max="4099" width="7.5" style="1" customWidth="1"/>
    <col min="4100" max="4100" width="11.1640625" style="1" bestFit="1" customWidth="1"/>
    <col min="4101" max="4105" width="16.5" style="1" customWidth="1"/>
    <col min="4106" max="4106" width="11.6640625" style="1" bestFit="1" customWidth="1"/>
    <col min="4107" max="4107" width="27.5" style="1" customWidth="1"/>
    <col min="4108" max="4108" width="57.6640625" style="1" customWidth="1"/>
    <col min="4109" max="4112" width="4.1640625" style="1" customWidth="1"/>
    <col min="4113" max="4113" width="15.5" style="1" customWidth="1"/>
    <col min="4114" max="4313" width="9.33203125" style="1"/>
    <col min="4314" max="4314" width="6" style="1" bestFit="1" customWidth="1"/>
    <col min="4315" max="4315" width="14" style="1" customWidth="1"/>
    <col min="4316" max="4316" width="13.33203125" style="1" customWidth="1"/>
    <col min="4317" max="4317" width="13.5" style="1" customWidth="1"/>
    <col min="4318" max="4318" width="9.33203125" style="1"/>
    <col min="4319" max="4319" width="8.6640625" style="1" customWidth="1"/>
    <col min="4320" max="4320" width="6" style="1" customWidth="1"/>
    <col min="4321" max="4321" width="8.33203125" style="1" customWidth="1"/>
    <col min="4322" max="4325" width="10" style="1" customWidth="1"/>
    <col min="4326" max="4326" width="9" style="1" bestFit="1" customWidth="1"/>
    <col min="4327" max="4355" width="7.5" style="1" customWidth="1"/>
    <col min="4356" max="4356" width="11.1640625" style="1" bestFit="1" customWidth="1"/>
    <col min="4357" max="4361" width="16.5" style="1" customWidth="1"/>
    <col min="4362" max="4362" width="11.6640625" style="1" bestFit="1" customWidth="1"/>
    <col min="4363" max="4363" width="27.5" style="1" customWidth="1"/>
    <col min="4364" max="4364" width="57.6640625" style="1" customWidth="1"/>
    <col min="4365" max="4368" width="4.1640625" style="1" customWidth="1"/>
    <col min="4369" max="4369" width="15.5" style="1" customWidth="1"/>
    <col min="4370" max="4569" width="9.33203125" style="1"/>
    <col min="4570" max="4570" width="6" style="1" bestFit="1" customWidth="1"/>
    <col min="4571" max="4571" width="14" style="1" customWidth="1"/>
    <col min="4572" max="4572" width="13.33203125" style="1" customWidth="1"/>
    <col min="4573" max="4573" width="13.5" style="1" customWidth="1"/>
    <col min="4574" max="4574" width="9.33203125" style="1"/>
    <col min="4575" max="4575" width="8.6640625" style="1" customWidth="1"/>
    <col min="4576" max="4576" width="6" style="1" customWidth="1"/>
    <col min="4577" max="4577" width="8.33203125" style="1" customWidth="1"/>
    <col min="4578" max="4581" width="10" style="1" customWidth="1"/>
    <col min="4582" max="4582" width="9" style="1" bestFit="1" customWidth="1"/>
    <col min="4583" max="4611" width="7.5" style="1" customWidth="1"/>
    <col min="4612" max="4612" width="11.1640625" style="1" bestFit="1" customWidth="1"/>
    <col min="4613" max="4617" width="16.5" style="1" customWidth="1"/>
    <col min="4618" max="4618" width="11.6640625" style="1" bestFit="1" customWidth="1"/>
    <col min="4619" max="4619" width="27.5" style="1" customWidth="1"/>
    <col min="4620" max="4620" width="57.6640625" style="1" customWidth="1"/>
    <col min="4621" max="4624" width="4.1640625" style="1" customWidth="1"/>
    <col min="4625" max="4625" width="15.5" style="1" customWidth="1"/>
    <col min="4626" max="4825" width="9.33203125" style="1"/>
    <col min="4826" max="4826" width="6" style="1" bestFit="1" customWidth="1"/>
    <col min="4827" max="4827" width="14" style="1" customWidth="1"/>
    <col min="4828" max="4828" width="13.33203125" style="1" customWidth="1"/>
    <col min="4829" max="4829" width="13.5" style="1" customWidth="1"/>
    <col min="4830" max="4830" width="9.33203125" style="1"/>
    <col min="4831" max="4831" width="8.6640625" style="1" customWidth="1"/>
    <col min="4832" max="4832" width="6" style="1" customWidth="1"/>
    <col min="4833" max="4833" width="8.33203125" style="1" customWidth="1"/>
    <col min="4834" max="4837" width="10" style="1" customWidth="1"/>
    <col min="4838" max="4838" width="9" style="1" bestFit="1" customWidth="1"/>
    <col min="4839" max="4867" width="7.5" style="1" customWidth="1"/>
    <col min="4868" max="4868" width="11.1640625" style="1" bestFit="1" customWidth="1"/>
    <col min="4869" max="4873" width="16.5" style="1" customWidth="1"/>
    <col min="4874" max="4874" width="11.6640625" style="1" bestFit="1" customWidth="1"/>
    <col min="4875" max="4875" width="27.5" style="1" customWidth="1"/>
    <col min="4876" max="4876" width="57.6640625" style="1" customWidth="1"/>
    <col min="4877" max="4880" width="4.1640625" style="1" customWidth="1"/>
    <col min="4881" max="4881" width="15.5" style="1" customWidth="1"/>
    <col min="4882" max="5081" width="9.33203125" style="1"/>
    <col min="5082" max="5082" width="6" style="1" bestFit="1" customWidth="1"/>
    <col min="5083" max="5083" width="14" style="1" customWidth="1"/>
    <col min="5084" max="5084" width="13.33203125" style="1" customWidth="1"/>
    <col min="5085" max="5085" width="13.5" style="1" customWidth="1"/>
    <col min="5086" max="5086" width="9.33203125" style="1"/>
    <col min="5087" max="5087" width="8.6640625" style="1" customWidth="1"/>
    <col min="5088" max="5088" width="6" style="1" customWidth="1"/>
    <col min="5089" max="5089" width="8.33203125" style="1" customWidth="1"/>
    <col min="5090" max="5093" width="10" style="1" customWidth="1"/>
    <col min="5094" max="5094" width="9" style="1" bestFit="1" customWidth="1"/>
    <col min="5095" max="5123" width="7.5" style="1" customWidth="1"/>
    <col min="5124" max="5124" width="11.1640625" style="1" bestFit="1" customWidth="1"/>
    <col min="5125" max="5129" width="16.5" style="1" customWidth="1"/>
    <col min="5130" max="5130" width="11.6640625" style="1" bestFit="1" customWidth="1"/>
    <col min="5131" max="5131" width="27.5" style="1" customWidth="1"/>
    <col min="5132" max="5132" width="57.6640625" style="1" customWidth="1"/>
    <col min="5133" max="5136" width="4.1640625" style="1" customWidth="1"/>
    <col min="5137" max="5137" width="15.5" style="1" customWidth="1"/>
    <col min="5138" max="5337" width="9.33203125" style="1"/>
    <col min="5338" max="5338" width="6" style="1" bestFit="1" customWidth="1"/>
    <col min="5339" max="5339" width="14" style="1" customWidth="1"/>
    <col min="5340" max="5340" width="13.33203125" style="1" customWidth="1"/>
    <col min="5341" max="5341" width="13.5" style="1" customWidth="1"/>
    <col min="5342" max="5342" width="9.33203125" style="1"/>
    <col min="5343" max="5343" width="8.6640625" style="1" customWidth="1"/>
    <col min="5344" max="5344" width="6" style="1" customWidth="1"/>
    <col min="5345" max="5345" width="8.33203125" style="1" customWidth="1"/>
    <col min="5346" max="5349" width="10" style="1" customWidth="1"/>
    <col min="5350" max="5350" width="9" style="1" bestFit="1" customWidth="1"/>
    <col min="5351" max="5379" width="7.5" style="1" customWidth="1"/>
    <col min="5380" max="5380" width="11.1640625" style="1" bestFit="1" customWidth="1"/>
    <col min="5381" max="5385" width="16.5" style="1" customWidth="1"/>
    <col min="5386" max="5386" width="11.6640625" style="1" bestFit="1" customWidth="1"/>
    <col min="5387" max="5387" width="27.5" style="1" customWidth="1"/>
    <col min="5388" max="5388" width="57.6640625" style="1" customWidth="1"/>
    <col min="5389" max="5392" width="4.1640625" style="1" customWidth="1"/>
    <col min="5393" max="5393" width="15.5" style="1" customWidth="1"/>
    <col min="5394" max="5593" width="9.33203125" style="1"/>
    <col min="5594" max="5594" width="6" style="1" bestFit="1" customWidth="1"/>
    <col min="5595" max="5595" width="14" style="1" customWidth="1"/>
    <col min="5596" max="5596" width="13.33203125" style="1" customWidth="1"/>
    <col min="5597" max="5597" width="13.5" style="1" customWidth="1"/>
    <col min="5598" max="5598" width="9.33203125" style="1"/>
    <col min="5599" max="5599" width="8.6640625" style="1" customWidth="1"/>
    <col min="5600" max="5600" width="6" style="1" customWidth="1"/>
    <col min="5601" max="5601" width="8.33203125" style="1" customWidth="1"/>
    <col min="5602" max="5605" width="10" style="1" customWidth="1"/>
    <col min="5606" max="5606" width="9" style="1" bestFit="1" customWidth="1"/>
    <col min="5607" max="5635" width="7.5" style="1" customWidth="1"/>
    <col min="5636" max="5636" width="11.1640625" style="1" bestFit="1" customWidth="1"/>
    <col min="5637" max="5641" width="16.5" style="1" customWidth="1"/>
    <col min="5642" max="5642" width="11.6640625" style="1" bestFit="1" customWidth="1"/>
    <col min="5643" max="5643" width="27.5" style="1" customWidth="1"/>
    <col min="5644" max="5644" width="57.6640625" style="1" customWidth="1"/>
    <col min="5645" max="5648" width="4.1640625" style="1" customWidth="1"/>
    <col min="5649" max="5649" width="15.5" style="1" customWidth="1"/>
    <col min="5650" max="5849" width="9.33203125" style="1"/>
    <col min="5850" max="5850" width="6" style="1" bestFit="1" customWidth="1"/>
    <col min="5851" max="5851" width="14" style="1" customWidth="1"/>
    <col min="5852" max="5852" width="13.33203125" style="1" customWidth="1"/>
    <col min="5853" max="5853" width="13.5" style="1" customWidth="1"/>
    <col min="5854" max="5854" width="9.33203125" style="1"/>
    <col min="5855" max="5855" width="8.6640625" style="1" customWidth="1"/>
    <col min="5856" max="5856" width="6" style="1" customWidth="1"/>
    <col min="5857" max="5857" width="8.33203125" style="1" customWidth="1"/>
    <col min="5858" max="5861" width="10" style="1" customWidth="1"/>
    <col min="5862" max="5862" width="9" style="1" bestFit="1" customWidth="1"/>
    <col min="5863" max="5891" width="7.5" style="1" customWidth="1"/>
    <col min="5892" max="5892" width="11.1640625" style="1" bestFit="1" customWidth="1"/>
    <col min="5893" max="5897" width="16.5" style="1" customWidth="1"/>
    <col min="5898" max="5898" width="11.6640625" style="1" bestFit="1" customWidth="1"/>
    <col min="5899" max="5899" width="27.5" style="1" customWidth="1"/>
    <col min="5900" max="5900" width="57.6640625" style="1" customWidth="1"/>
    <col min="5901" max="5904" width="4.1640625" style="1" customWidth="1"/>
    <col min="5905" max="5905" width="15.5" style="1" customWidth="1"/>
    <col min="5906" max="6105" width="9.33203125" style="1"/>
    <col min="6106" max="6106" width="6" style="1" bestFit="1" customWidth="1"/>
    <col min="6107" max="6107" width="14" style="1" customWidth="1"/>
    <col min="6108" max="6108" width="13.33203125" style="1" customWidth="1"/>
    <col min="6109" max="6109" width="13.5" style="1" customWidth="1"/>
    <col min="6110" max="6110" width="9.33203125" style="1"/>
    <col min="6111" max="6111" width="8.6640625" style="1" customWidth="1"/>
    <col min="6112" max="6112" width="6" style="1" customWidth="1"/>
    <col min="6113" max="6113" width="8.33203125" style="1" customWidth="1"/>
    <col min="6114" max="6117" width="10" style="1" customWidth="1"/>
    <col min="6118" max="6118" width="9" style="1" bestFit="1" customWidth="1"/>
    <col min="6119" max="6147" width="7.5" style="1" customWidth="1"/>
    <col min="6148" max="6148" width="11.1640625" style="1" bestFit="1" customWidth="1"/>
    <col min="6149" max="6153" width="16.5" style="1" customWidth="1"/>
    <col min="6154" max="6154" width="11.6640625" style="1" bestFit="1" customWidth="1"/>
    <col min="6155" max="6155" width="27.5" style="1" customWidth="1"/>
    <col min="6156" max="6156" width="57.6640625" style="1" customWidth="1"/>
    <col min="6157" max="6160" width="4.1640625" style="1" customWidth="1"/>
    <col min="6161" max="6161" width="15.5" style="1" customWidth="1"/>
    <col min="6162" max="6361" width="9.33203125" style="1"/>
    <col min="6362" max="6362" width="6" style="1" bestFit="1" customWidth="1"/>
    <col min="6363" max="6363" width="14" style="1" customWidth="1"/>
    <col min="6364" max="6364" width="13.33203125" style="1" customWidth="1"/>
    <col min="6365" max="6365" width="13.5" style="1" customWidth="1"/>
    <col min="6366" max="6366" width="9.33203125" style="1"/>
    <col min="6367" max="6367" width="8.6640625" style="1" customWidth="1"/>
    <col min="6368" max="6368" width="6" style="1" customWidth="1"/>
    <col min="6369" max="6369" width="8.33203125" style="1" customWidth="1"/>
    <col min="6370" max="6373" width="10" style="1" customWidth="1"/>
    <col min="6374" max="6374" width="9" style="1" bestFit="1" customWidth="1"/>
    <col min="6375" max="6403" width="7.5" style="1" customWidth="1"/>
    <col min="6404" max="6404" width="11.1640625" style="1" bestFit="1" customWidth="1"/>
    <col min="6405" max="6409" width="16.5" style="1" customWidth="1"/>
    <col min="6410" max="6410" width="11.6640625" style="1" bestFit="1" customWidth="1"/>
    <col min="6411" max="6411" width="27.5" style="1" customWidth="1"/>
    <col min="6412" max="6412" width="57.6640625" style="1" customWidth="1"/>
    <col min="6413" max="6416" width="4.1640625" style="1" customWidth="1"/>
    <col min="6417" max="6417" width="15.5" style="1" customWidth="1"/>
    <col min="6418" max="6617" width="9.33203125" style="1"/>
    <col min="6618" max="6618" width="6" style="1" bestFit="1" customWidth="1"/>
    <col min="6619" max="6619" width="14" style="1" customWidth="1"/>
    <col min="6620" max="6620" width="13.33203125" style="1" customWidth="1"/>
    <col min="6621" max="6621" width="13.5" style="1" customWidth="1"/>
    <col min="6622" max="6622" width="9.33203125" style="1"/>
    <col min="6623" max="6623" width="8.6640625" style="1" customWidth="1"/>
    <col min="6624" max="6624" width="6" style="1" customWidth="1"/>
    <col min="6625" max="6625" width="8.33203125" style="1" customWidth="1"/>
    <col min="6626" max="6629" width="10" style="1" customWidth="1"/>
    <col min="6630" max="6630" width="9" style="1" bestFit="1" customWidth="1"/>
    <col min="6631" max="6659" width="7.5" style="1" customWidth="1"/>
    <col min="6660" max="6660" width="11.1640625" style="1" bestFit="1" customWidth="1"/>
    <col min="6661" max="6665" width="16.5" style="1" customWidth="1"/>
    <col min="6666" max="6666" width="11.6640625" style="1" bestFit="1" customWidth="1"/>
    <col min="6667" max="6667" width="27.5" style="1" customWidth="1"/>
    <col min="6668" max="6668" width="57.6640625" style="1" customWidth="1"/>
    <col min="6669" max="6672" width="4.1640625" style="1" customWidth="1"/>
    <col min="6673" max="6673" width="15.5" style="1" customWidth="1"/>
    <col min="6674" max="6873" width="9.33203125" style="1"/>
    <col min="6874" max="6874" width="6" style="1" bestFit="1" customWidth="1"/>
    <col min="6875" max="6875" width="14" style="1" customWidth="1"/>
    <col min="6876" max="6876" width="13.33203125" style="1" customWidth="1"/>
    <col min="6877" max="6877" width="13.5" style="1" customWidth="1"/>
    <col min="6878" max="6878" width="9.33203125" style="1"/>
    <col min="6879" max="6879" width="8.6640625" style="1" customWidth="1"/>
    <col min="6880" max="6880" width="6" style="1" customWidth="1"/>
    <col min="6881" max="6881" width="8.33203125" style="1" customWidth="1"/>
    <col min="6882" max="6885" width="10" style="1" customWidth="1"/>
    <col min="6886" max="6886" width="9" style="1" bestFit="1" customWidth="1"/>
    <col min="6887" max="6915" width="7.5" style="1" customWidth="1"/>
    <col min="6916" max="6916" width="11.1640625" style="1" bestFit="1" customWidth="1"/>
    <col min="6917" max="6921" width="16.5" style="1" customWidth="1"/>
    <col min="6922" max="6922" width="11.6640625" style="1" bestFit="1" customWidth="1"/>
    <col min="6923" max="6923" width="27.5" style="1" customWidth="1"/>
    <col min="6924" max="6924" width="57.6640625" style="1" customWidth="1"/>
    <col min="6925" max="6928" width="4.1640625" style="1" customWidth="1"/>
    <col min="6929" max="6929" width="15.5" style="1" customWidth="1"/>
    <col min="6930" max="7129" width="9.33203125" style="1"/>
    <col min="7130" max="7130" width="6" style="1" bestFit="1" customWidth="1"/>
    <col min="7131" max="7131" width="14" style="1" customWidth="1"/>
    <col min="7132" max="7132" width="13.33203125" style="1" customWidth="1"/>
    <col min="7133" max="7133" width="13.5" style="1" customWidth="1"/>
    <col min="7134" max="7134" width="9.33203125" style="1"/>
    <col min="7135" max="7135" width="8.6640625" style="1" customWidth="1"/>
    <col min="7136" max="7136" width="6" style="1" customWidth="1"/>
    <col min="7137" max="7137" width="8.33203125" style="1" customWidth="1"/>
    <col min="7138" max="7141" width="10" style="1" customWidth="1"/>
    <col min="7142" max="7142" width="9" style="1" bestFit="1" customWidth="1"/>
    <col min="7143" max="7171" width="7.5" style="1" customWidth="1"/>
    <col min="7172" max="7172" width="11.1640625" style="1" bestFit="1" customWidth="1"/>
    <col min="7173" max="7177" width="16.5" style="1" customWidth="1"/>
    <col min="7178" max="7178" width="11.6640625" style="1" bestFit="1" customWidth="1"/>
    <col min="7179" max="7179" width="27.5" style="1" customWidth="1"/>
    <col min="7180" max="7180" width="57.6640625" style="1" customWidth="1"/>
    <col min="7181" max="7184" width="4.1640625" style="1" customWidth="1"/>
    <col min="7185" max="7185" width="15.5" style="1" customWidth="1"/>
    <col min="7186" max="7385" width="9.33203125" style="1"/>
    <col min="7386" max="7386" width="6" style="1" bestFit="1" customWidth="1"/>
    <col min="7387" max="7387" width="14" style="1" customWidth="1"/>
    <col min="7388" max="7388" width="13.33203125" style="1" customWidth="1"/>
    <col min="7389" max="7389" width="13.5" style="1" customWidth="1"/>
    <col min="7390" max="7390" width="9.33203125" style="1"/>
    <col min="7391" max="7391" width="8.6640625" style="1" customWidth="1"/>
    <col min="7392" max="7392" width="6" style="1" customWidth="1"/>
    <col min="7393" max="7393" width="8.33203125" style="1" customWidth="1"/>
    <col min="7394" max="7397" width="10" style="1" customWidth="1"/>
    <col min="7398" max="7398" width="9" style="1" bestFit="1" customWidth="1"/>
    <col min="7399" max="7427" width="7.5" style="1" customWidth="1"/>
    <col min="7428" max="7428" width="11.1640625" style="1" bestFit="1" customWidth="1"/>
    <col min="7429" max="7433" width="16.5" style="1" customWidth="1"/>
    <col min="7434" max="7434" width="11.6640625" style="1" bestFit="1" customWidth="1"/>
    <col min="7435" max="7435" width="27.5" style="1" customWidth="1"/>
    <col min="7436" max="7436" width="57.6640625" style="1" customWidth="1"/>
    <col min="7437" max="7440" width="4.1640625" style="1" customWidth="1"/>
    <col min="7441" max="7441" width="15.5" style="1" customWidth="1"/>
    <col min="7442" max="7641" width="9.33203125" style="1"/>
    <col min="7642" max="7642" width="6" style="1" bestFit="1" customWidth="1"/>
    <col min="7643" max="7643" width="14" style="1" customWidth="1"/>
    <col min="7644" max="7644" width="13.33203125" style="1" customWidth="1"/>
    <col min="7645" max="7645" width="13.5" style="1" customWidth="1"/>
    <col min="7646" max="7646" width="9.33203125" style="1"/>
    <col min="7647" max="7647" width="8.6640625" style="1" customWidth="1"/>
    <col min="7648" max="7648" width="6" style="1" customWidth="1"/>
    <col min="7649" max="7649" width="8.33203125" style="1" customWidth="1"/>
    <col min="7650" max="7653" width="10" style="1" customWidth="1"/>
    <col min="7654" max="7654" width="9" style="1" bestFit="1" customWidth="1"/>
    <col min="7655" max="7683" width="7.5" style="1" customWidth="1"/>
    <col min="7684" max="7684" width="11.1640625" style="1" bestFit="1" customWidth="1"/>
    <col min="7685" max="7689" width="16.5" style="1" customWidth="1"/>
    <col min="7690" max="7690" width="11.6640625" style="1" bestFit="1" customWidth="1"/>
    <col min="7691" max="7691" width="27.5" style="1" customWidth="1"/>
    <col min="7692" max="7692" width="57.6640625" style="1" customWidth="1"/>
    <col min="7693" max="7696" width="4.1640625" style="1" customWidth="1"/>
    <col min="7697" max="7697" width="15.5" style="1" customWidth="1"/>
    <col min="7698" max="7897" width="9.33203125" style="1"/>
    <col min="7898" max="7898" width="6" style="1" bestFit="1" customWidth="1"/>
    <col min="7899" max="7899" width="14" style="1" customWidth="1"/>
    <col min="7900" max="7900" width="13.33203125" style="1" customWidth="1"/>
    <col min="7901" max="7901" width="13.5" style="1" customWidth="1"/>
    <col min="7902" max="7902" width="9.33203125" style="1"/>
    <col min="7903" max="7903" width="8.6640625" style="1" customWidth="1"/>
    <col min="7904" max="7904" width="6" style="1" customWidth="1"/>
    <col min="7905" max="7905" width="8.33203125" style="1" customWidth="1"/>
    <col min="7906" max="7909" width="10" style="1" customWidth="1"/>
    <col min="7910" max="7910" width="9" style="1" bestFit="1" customWidth="1"/>
    <col min="7911" max="7939" width="7.5" style="1" customWidth="1"/>
    <col min="7940" max="7940" width="11.1640625" style="1" bestFit="1" customWidth="1"/>
    <col min="7941" max="7945" width="16.5" style="1" customWidth="1"/>
    <col min="7946" max="7946" width="11.6640625" style="1" bestFit="1" customWidth="1"/>
    <col min="7947" max="7947" width="27.5" style="1" customWidth="1"/>
    <col min="7948" max="7948" width="57.6640625" style="1" customWidth="1"/>
    <col min="7949" max="7952" width="4.1640625" style="1" customWidth="1"/>
    <col min="7953" max="7953" width="15.5" style="1" customWidth="1"/>
    <col min="7954" max="8153" width="9.33203125" style="1"/>
    <col min="8154" max="8154" width="6" style="1" bestFit="1" customWidth="1"/>
    <col min="8155" max="8155" width="14" style="1" customWidth="1"/>
    <col min="8156" max="8156" width="13.33203125" style="1" customWidth="1"/>
    <col min="8157" max="8157" width="13.5" style="1" customWidth="1"/>
    <col min="8158" max="8158" width="9.33203125" style="1"/>
    <col min="8159" max="8159" width="8.6640625" style="1" customWidth="1"/>
    <col min="8160" max="8160" width="6" style="1" customWidth="1"/>
    <col min="8161" max="8161" width="8.33203125" style="1" customWidth="1"/>
    <col min="8162" max="8165" width="10" style="1" customWidth="1"/>
    <col min="8166" max="8166" width="9" style="1" bestFit="1" customWidth="1"/>
    <col min="8167" max="8195" width="7.5" style="1" customWidth="1"/>
    <col min="8196" max="8196" width="11.1640625" style="1" bestFit="1" customWidth="1"/>
    <col min="8197" max="8201" width="16.5" style="1" customWidth="1"/>
    <col min="8202" max="8202" width="11.6640625" style="1" bestFit="1" customWidth="1"/>
    <col min="8203" max="8203" width="27.5" style="1" customWidth="1"/>
    <col min="8204" max="8204" width="57.6640625" style="1" customWidth="1"/>
    <col min="8205" max="8208" width="4.1640625" style="1" customWidth="1"/>
    <col min="8209" max="8209" width="15.5" style="1" customWidth="1"/>
    <col min="8210" max="8409" width="9.33203125" style="1"/>
    <col min="8410" max="8410" width="6" style="1" bestFit="1" customWidth="1"/>
    <col min="8411" max="8411" width="14" style="1" customWidth="1"/>
    <col min="8412" max="8412" width="13.33203125" style="1" customWidth="1"/>
    <col min="8413" max="8413" width="13.5" style="1" customWidth="1"/>
    <col min="8414" max="8414" width="9.33203125" style="1"/>
    <col min="8415" max="8415" width="8.6640625" style="1" customWidth="1"/>
    <col min="8416" max="8416" width="6" style="1" customWidth="1"/>
    <col min="8417" max="8417" width="8.33203125" style="1" customWidth="1"/>
    <col min="8418" max="8421" width="10" style="1" customWidth="1"/>
    <col min="8422" max="8422" width="9" style="1" bestFit="1" customWidth="1"/>
    <col min="8423" max="8451" width="7.5" style="1" customWidth="1"/>
    <col min="8452" max="8452" width="11.1640625" style="1" bestFit="1" customWidth="1"/>
    <col min="8453" max="8457" width="16.5" style="1" customWidth="1"/>
    <col min="8458" max="8458" width="11.6640625" style="1" bestFit="1" customWidth="1"/>
    <col min="8459" max="8459" width="27.5" style="1" customWidth="1"/>
    <col min="8460" max="8460" width="57.6640625" style="1" customWidth="1"/>
    <col min="8461" max="8464" width="4.1640625" style="1" customWidth="1"/>
    <col min="8465" max="8465" width="15.5" style="1" customWidth="1"/>
    <col min="8466" max="8665" width="9.33203125" style="1"/>
    <col min="8666" max="8666" width="6" style="1" bestFit="1" customWidth="1"/>
    <col min="8667" max="8667" width="14" style="1" customWidth="1"/>
    <col min="8668" max="8668" width="13.33203125" style="1" customWidth="1"/>
    <col min="8669" max="8669" width="13.5" style="1" customWidth="1"/>
    <col min="8670" max="8670" width="9.33203125" style="1"/>
    <col min="8671" max="8671" width="8.6640625" style="1" customWidth="1"/>
    <col min="8672" max="8672" width="6" style="1" customWidth="1"/>
    <col min="8673" max="8673" width="8.33203125" style="1" customWidth="1"/>
    <col min="8674" max="8677" width="10" style="1" customWidth="1"/>
    <col min="8678" max="8678" width="9" style="1" bestFit="1" customWidth="1"/>
    <col min="8679" max="8707" width="7.5" style="1" customWidth="1"/>
    <col min="8708" max="8708" width="11.1640625" style="1" bestFit="1" customWidth="1"/>
    <col min="8709" max="8713" width="16.5" style="1" customWidth="1"/>
    <col min="8714" max="8714" width="11.6640625" style="1" bestFit="1" customWidth="1"/>
    <col min="8715" max="8715" width="27.5" style="1" customWidth="1"/>
    <col min="8716" max="8716" width="57.6640625" style="1" customWidth="1"/>
    <col min="8717" max="8720" width="4.1640625" style="1" customWidth="1"/>
    <col min="8721" max="8721" width="15.5" style="1" customWidth="1"/>
    <col min="8722" max="8921" width="9.33203125" style="1"/>
    <col min="8922" max="8922" width="6" style="1" bestFit="1" customWidth="1"/>
    <col min="8923" max="8923" width="14" style="1" customWidth="1"/>
    <col min="8924" max="8924" width="13.33203125" style="1" customWidth="1"/>
    <col min="8925" max="8925" width="13.5" style="1" customWidth="1"/>
    <col min="8926" max="8926" width="9.33203125" style="1"/>
    <col min="8927" max="8927" width="8.6640625" style="1" customWidth="1"/>
    <col min="8928" max="8928" width="6" style="1" customWidth="1"/>
    <col min="8929" max="8929" width="8.33203125" style="1" customWidth="1"/>
    <col min="8930" max="8933" width="10" style="1" customWidth="1"/>
    <col min="8934" max="8934" width="9" style="1" bestFit="1" customWidth="1"/>
    <col min="8935" max="8963" width="7.5" style="1" customWidth="1"/>
    <col min="8964" max="8964" width="11.1640625" style="1" bestFit="1" customWidth="1"/>
    <col min="8965" max="8969" width="16.5" style="1" customWidth="1"/>
    <col min="8970" max="8970" width="11.6640625" style="1" bestFit="1" customWidth="1"/>
    <col min="8971" max="8971" width="27.5" style="1" customWidth="1"/>
    <col min="8972" max="8972" width="57.6640625" style="1" customWidth="1"/>
    <col min="8973" max="8976" width="4.1640625" style="1" customWidth="1"/>
    <col min="8977" max="8977" width="15.5" style="1" customWidth="1"/>
    <col min="8978" max="9177" width="9.33203125" style="1"/>
    <col min="9178" max="9178" width="6" style="1" bestFit="1" customWidth="1"/>
    <col min="9179" max="9179" width="14" style="1" customWidth="1"/>
    <col min="9180" max="9180" width="13.33203125" style="1" customWidth="1"/>
    <col min="9181" max="9181" width="13.5" style="1" customWidth="1"/>
    <col min="9182" max="9182" width="9.33203125" style="1"/>
    <col min="9183" max="9183" width="8.6640625" style="1" customWidth="1"/>
    <col min="9184" max="9184" width="6" style="1" customWidth="1"/>
    <col min="9185" max="9185" width="8.33203125" style="1" customWidth="1"/>
    <col min="9186" max="9189" width="10" style="1" customWidth="1"/>
    <col min="9190" max="9190" width="9" style="1" bestFit="1" customWidth="1"/>
    <col min="9191" max="9219" width="7.5" style="1" customWidth="1"/>
    <col min="9220" max="9220" width="11.1640625" style="1" bestFit="1" customWidth="1"/>
    <col min="9221" max="9225" width="16.5" style="1" customWidth="1"/>
    <col min="9226" max="9226" width="11.6640625" style="1" bestFit="1" customWidth="1"/>
    <col min="9227" max="9227" width="27.5" style="1" customWidth="1"/>
    <col min="9228" max="9228" width="57.6640625" style="1" customWidth="1"/>
    <col min="9229" max="9232" width="4.1640625" style="1" customWidth="1"/>
    <col min="9233" max="9233" width="15.5" style="1" customWidth="1"/>
    <col min="9234" max="9433" width="9.33203125" style="1"/>
    <col min="9434" max="9434" width="6" style="1" bestFit="1" customWidth="1"/>
    <col min="9435" max="9435" width="14" style="1" customWidth="1"/>
    <col min="9436" max="9436" width="13.33203125" style="1" customWidth="1"/>
    <col min="9437" max="9437" width="13.5" style="1" customWidth="1"/>
    <col min="9438" max="9438" width="9.33203125" style="1"/>
    <col min="9439" max="9439" width="8.6640625" style="1" customWidth="1"/>
    <col min="9440" max="9440" width="6" style="1" customWidth="1"/>
    <col min="9441" max="9441" width="8.33203125" style="1" customWidth="1"/>
    <col min="9442" max="9445" width="10" style="1" customWidth="1"/>
    <col min="9446" max="9446" width="9" style="1" bestFit="1" customWidth="1"/>
    <col min="9447" max="9475" width="7.5" style="1" customWidth="1"/>
    <col min="9476" max="9476" width="11.1640625" style="1" bestFit="1" customWidth="1"/>
    <col min="9477" max="9481" width="16.5" style="1" customWidth="1"/>
    <col min="9482" max="9482" width="11.6640625" style="1" bestFit="1" customWidth="1"/>
    <col min="9483" max="9483" width="27.5" style="1" customWidth="1"/>
    <col min="9484" max="9484" width="57.6640625" style="1" customWidth="1"/>
    <col min="9485" max="9488" width="4.1640625" style="1" customWidth="1"/>
    <col min="9489" max="9489" width="15.5" style="1" customWidth="1"/>
    <col min="9490" max="9689" width="9.33203125" style="1"/>
    <col min="9690" max="9690" width="6" style="1" bestFit="1" customWidth="1"/>
    <col min="9691" max="9691" width="14" style="1" customWidth="1"/>
    <col min="9692" max="9692" width="13.33203125" style="1" customWidth="1"/>
    <col min="9693" max="9693" width="13.5" style="1" customWidth="1"/>
    <col min="9694" max="9694" width="9.33203125" style="1"/>
    <col min="9695" max="9695" width="8.6640625" style="1" customWidth="1"/>
    <col min="9696" max="9696" width="6" style="1" customWidth="1"/>
    <col min="9697" max="9697" width="8.33203125" style="1" customWidth="1"/>
    <col min="9698" max="9701" width="10" style="1" customWidth="1"/>
    <col min="9702" max="9702" width="9" style="1" bestFit="1" customWidth="1"/>
    <col min="9703" max="9731" width="7.5" style="1" customWidth="1"/>
    <col min="9732" max="9732" width="11.1640625" style="1" bestFit="1" customWidth="1"/>
    <col min="9733" max="9737" width="16.5" style="1" customWidth="1"/>
    <col min="9738" max="9738" width="11.6640625" style="1" bestFit="1" customWidth="1"/>
    <col min="9739" max="9739" width="27.5" style="1" customWidth="1"/>
    <col min="9740" max="9740" width="57.6640625" style="1" customWidth="1"/>
    <col min="9741" max="9744" width="4.1640625" style="1" customWidth="1"/>
    <col min="9745" max="9745" width="15.5" style="1" customWidth="1"/>
    <col min="9746" max="9945" width="9.33203125" style="1"/>
    <col min="9946" max="9946" width="6" style="1" bestFit="1" customWidth="1"/>
    <col min="9947" max="9947" width="14" style="1" customWidth="1"/>
    <col min="9948" max="9948" width="13.33203125" style="1" customWidth="1"/>
    <col min="9949" max="9949" width="13.5" style="1" customWidth="1"/>
    <col min="9950" max="9950" width="9.33203125" style="1"/>
    <col min="9951" max="9951" width="8.6640625" style="1" customWidth="1"/>
    <col min="9952" max="9952" width="6" style="1" customWidth="1"/>
    <col min="9953" max="9953" width="8.33203125" style="1" customWidth="1"/>
    <col min="9954" max="9957" width="10" style="1" customWidth="1"/>
    <col min="9958" max="9958" width="9" style="1" bestFit="1" customWidth="1"/>
    <col min="9959" max="9987" width="7.5" style="1" customWidth="1"/>
    <col min="9988" max="9988" width="11.1640625" style="1" bestFit="1" customWidth="1"/>
    <col min="9989" max="9993" width="16.5" style="1" customWidth="1"/>
    <col min="9994" max="9994" width="11.6640625" style="1" bestFit="1" customWidth="1"/>
    <col min="9995" max="9995" width="27.5" style="1" customWidth="1"/>
    <col min="9996" max="9996" width="57.6640625" style="1" customWidth="1"/>
    <col min="9997" max="10000" width="4.1640625" style="1" customWidth="1"/>
    <col min="10001" max="10001" width="15.5" style="1" customWidth="1"/>
    <col min="10002" max="10201" width="9.33203125" style="1"/>
    <col min="10202" max="10202" width="6" style="1" bestFit="1" customWidth="1"/>
    <col min="10203" max="10203" width="14" style="1" customWidth="1"/>
    <col min="10204" max="10204" width="13.33203125" style="1" customWidth="1"/>
    <col min="10205" max="10205" width="13.5" style="1" customWidth="1"/>
    <col min="10206" max="10206" width="9.33203125" style="1"/>
    <col min="10207" max="10207" width="8.6640625" style="1" customWidth="1"/>
    <col min="10208" max="10208" width="6" style="1" customWidth="1"/>
    <col min="10209" max="10209" width="8.33203125" style="1" customWidth="1"/>
    <col min="10210" max="10213" width="10" style="1" customWidth="1"/>
    <col min="10214" max="10214" width="9" style="1" bestFit="1" customWidth="1"/>
    <col min="10215" max="10243" width="7.5" style="1" customWidth="1"/>
    <col min="10244" max="10244" width="11.1640625" style="1" bestFit="1" customWidth="1"/>
    <col min="10245" max="10249" width="16.5" style="1" customWidth="1"/>
    <col min="10250" max="10250" width="11.6640625" style="1" bestFit="1" customWidth="1"/>
    <col min="10251" max="10251" width="27.5" style="1" customWidth="1"/>
    <col min="10252" max="10252" width="57.6640625" style="1" customWidth="1"/>
    <col min="10253" max="10256" width="4.1640625" style="1" customWidth="1"/>
    <col min="10257" max="10257" width="15.5" style="1" customWidth="1"/>
    <col min="10258" max="10457" width="9.33203125" style="1"/>
    <col min="10458" max="10458" width="6" style="1" bestFit="1" customWidth="1"/>
    <col min="10459" max="10459" width="14" style="1" customWidth="1"/>
    <col min="10460" max="10460" width="13.33203125" style="1" customWidth="1"/>
    <col min="10461" max="10461" width="13.5" style="1" customWidth="1"/>
    <col min="10462" max="10462" width="9.33203125" style="1"/>
    <col min="10463" max="10463" width="8.6640625" style="1" customWidth="1"/>
    <col min="10464" max="10464" width="6" style="1" customWidth="1"/>
    <col min="10465" max="10465" width="8.33203125" style="1" customWidth="1"/>
    <col min="10466" max="10469" width="10" style="1" customWidth="1"/>
    <col min="10470" max="10470" width="9" style="1" bestFit="1" customWidth="1"/>
    <col min="10471" max="10499" width="7.5" style="1" customWidth="1"/>
    <col min="10500" max="10500" width="11.1640625" style="1" bestFit="1" customWidth="1"/>
    <col min="10501" max="10505" width="16.5" style="1" customWidth="1"/>
    <col min="10506" max="10506" width="11.6640625" style="1" bestFit="1" customWidth="1"/>
    <col min="10507" max="10507" width="27.5" style="1" customWidth="1"/>
    <col min="10508" max="10508" width="57.6640625" style="1" customWidth="1"/>
    <col min="10509" max="10512" width="4.1640625" style="1" customWidth="1"/>
    <col min="10513" max="10513" width="15.5" style="1" customWidth="1"/>
    <col min="10514" max="10713" width="9.33203125" style="1"/>
    <col min="10714" max="10714" width="6" style="1" bestFit="1" customWidth="1"/>
    <col min="10715" max="10715" width="14" style="1" customWidth="1"/>
    <col min="10716" max="10716" width="13.33203125" style="1" customWidth="1"/>
    <col min="10717" max="10717" width="13.5" style="1" customWidth="1"/>
    <col min="10718" max="10718" width="9.33203125" style="1"/>
    <col min="10719" max="10719" width="8.6640625" style="1" customWidth="1"/>
    <col min="10720" max="10720" width="6" style="1" customWidth="1"/>
    <col min="10721" max="10721" width="8.33203125" style="1" customWidth="1"/>
    <col min="10722" max="10725" width="10" style="1" customWidth="1"/>
    <col min="10726" max="10726" width="9" style="1" bestFit="1" customWidth="1"/>
    <col min="10727" max="10755" width="7.5" style="1" customWidth="1"/>
    <col min="10756" max="10756" width="11.1640625" style="1" bestFit="1" customWidth="1"/>
    <col min="10757" max="10761" width="16.5" style="1" customWidth="1"/>
    <col min="10762" max="10762" width="11.6640625" style="1" bestFit="1" customWidth="1"/>
    <col min="10763" max="10763" width="27.5" style="1" customWidth="1"/>
    <col min="10764" max="10764" width="57.6640625" style="1" customWidth="1"/>
    <col min="10765" max="10768" width="4.1640625" style="1" customWidth="1"/>
    <col min="10769" max="10769" width="15.5" style="1" customWidth="1"/>
    <col min="10770" max="10969" width="9.33203125" style="1"/>
    <col min="10970" max="10970" width="6" style="1" bestFit="1" customWidth="1"/>
    <col min="10971" max="10971" width="14" style="1" customWidth="1"/>
    <col min="10972" max="10972" width="13.33203125" style="1" customWidth="1"/>
    <col min="10973" max="10973" width="13.5" style="1" customWidth="1"/>
    <col min="10974" max="10974" width="9.33203125" style="1"/>
    <col min="10975" max="10975" width="8.6640625" style="1" customWidth="1"/>
    <col min="10976" max="10976" width="6" style="1" customWidth="1"/>
    <col min="10977" max="10977" width="8.33203125" style="1" customWidth="1"/>
    <col min="10978" max="10981" width="10" style="1" customWidth="1"/>
    <col min="10982" max="10982" width="9" style="1" bestFit="1" customWidth="1"/>
    <col min="10983" max="11011" width="7.5" style="1" customWidth="1"/>
    <col min="11012" max="11012" width="11.1640625" style="1" bestFit="1" customWidth="1"/>
    <col min="11013" max="11017" width="16.5" style="1" customWidth="1"/>
    <col min="11018" max="11018" width="11.6640625" style="1" bestFit="1" customWidth="1"/>
    <col min="11019" max="11019" width="27.5" style="1" customWidth="1"/>
    <col min="11020" max="11020" width="57.6640625" style="1" customWidth="1"/>
    <col min="11021" max="11024" width="4.1640625" style="1" customWidth="1"/>
    <col min="11025" max="11025" width="15.5" style="1" customWidth="1"/>
    <col min="11026" max="11225" width="9.33203125" style="1"/>
    <col min="11226" max="11226" width="6" style="1" bestFit="1" customWidth="1"/>
    <col min="11227" max="11227" width="14" style="1" customWidth="1"/>
    <col min="11228" max="11228" width="13.33203125" style="1" customWidth="1"/>
    <col min="11229" max="11229" width="13.5" style="1" customWidth="1"/>
    <col min="11230" max="11230" width="9.33203125" style="1"/>
    <col min="11231" max="11231" width="8.6640625" style="1" customWidth="1"/>
    <col min="11232" max="11232" width="6" style="1" customWidth="1"/>
    <col min="11233" max="11233" width="8.33203125" style="1" customWidth="1"/>
    <col min="11234" max="11237" width="10" style="1" customWidth="1"/>
    <col min="11238" max="11238" width="9" style="1" bestFit="1" customWidth="1"/>
    <col min="11239" max="11267" width="7.5" style="1" customWidth="1"/>
    <col min="11268" max="11268" width="11.1640625" style="1" bestFit="1" customWidth="1"/>
    <col min="11269" max="11273" width="16.5" style="1" customWidth="1"/>
    <col min="11274" max="11274" width="11.6640625" style="1" bestFit="1" customWidth="1"/>
    <col min="11275" max="11275" width="27.5" style="1" customWidth="1"/>
    <col min="11276" max="11276" width="57.6640625" style="1" customWidth="1"/>
    <col min="11277" max="11280" width="4.1640625" style="1" customWidth="1"/>
    <col min="11281" max="11281" width="15.5" style="1" customWidth="1"/>
    <col min="11282" max="11481" width="9.33203125" style="1"/>
    <col min="11482" max="11482" width="6" style="1" bestFit="1" customWidth="1"/>
    <col min="11483" max="11483" width="14" style="1" customWidth="1"/>
    <col min="11484" max="11484" width="13.33203125" style="1" customWidth="1"/>
    <col min="11485" max="11485" width="13.5" style="1" customWidth="1"/>
    <col min="11486" max="11486" width="9.33203125" style="1"/>
    <col min="11487" max="11487" width="8.6640625" style="1" customWidth="1"/>
    <col min="11488" max="11488" width="6" style="1" customWidth="1"/>
    <col min="11489" max="11489" width="8.33203125" style="1" customWidth="1"/>
    <col min="11490" max="11493" width="10" style="1" customWidth="1"/>
    <col min="11494" max="11494" width="9" style="1" bestFit="1" customWidth="1"/>
    <col min="11495" max="11523" width="7.5" style="1" customWidth="1"/>
    <col min="11524" max="11524" width="11.1640625" style="1" bestFit="1" customWidth="1"/>
    <col min="11525" max="11529" width="16.5" style="1" customWidth="1"/>
    <col min="11530" max="11530" width="11.6640625" style="1" bestFit="1" customWidth="1"/>
    <col min="11531" max="11531" width="27.5" style="1" customWidth="1"/>
    <col min="11532" max="11532" width="57.6640625" style="1" customWidth="1"/>
    <col min="11533" max="11536" width="4.1640625" style="1" customWidth="1"/>
    <col min="11537" max="11537" width="15.5" style="1" customWidth="1"/>
    <col min="11538" max="11737" width="9.33203125" style="1"/>
    <col min="11738" max="11738" width="6" style="1" bestFit="1" customWidth="1"/>
    <col min="11739" max="11739" width="14" style="1" customWidth="1"/>
    <col min="11740" max="11740" width="13.33203125" style="1" customWidth="1"/>
    <col min="11741" max="11741" width="13.5" style="1" customWidth="1"/>
    <col min="11742" max="11742" width="9.33203125" style="1"/>
    <col min="11743" max="11743" width="8.6640625" style="1" customWidth="1"/>
    <col min="11744" max="11744" width="6" style="1" customWidth="1"/>
    <col min="11745" max="11745" width="8.33203125" style="1" customWidth="1"/>
    <col min="11746" max="11749" width="10" style="1" customWidth="1"/>
    <col min="11750" max="11750" width="9" style="1" bestFit="1" customWidth="1"/>
    <col min="11751" max="11779" width="7.5" style="1" customWidth="1"/>
    <col min="11780" max="11780" width="11.1640625" style="1" bestFit="1" customWidth="1"/>
    <col min="11781" max="11785" width="16.5" style="1" customWidth="1"/>
    <col min="11786" max="11786" width="11.6640625" style="1" bestFit="1" customWidth="1"/>
    <col min="11787" max="11787" width="27.5" style="1" customWidth="1"/>
    <col min="11788" max="11788" width="57.6640625" style="1" customWidth="1"/>
    <col min="11789" max="11792" width="4.1640625" style="1" customWidth="1"/>
    <col min="11793" max="11793" width="15.5" style="1" customWidth="1"/>
    <col min="11794" max="11993" width="9.33203125" style="1"/>
    <col min="11994" max="11994" width="6" style="1" bestFit="1" customWidth="1"/>
    <col min="11995" max="11995" width="14" style="1" customWidth="1"/>
    <col min="11996" max="11996" width="13.33203125" style="1" customWidth="1"/>
    <col min="11997" max="11997" width="13.5" style="1" customWidth="1"/>
    <col min="11998" max="11998" width="9.33203125" style="1"/>
    <col min="11999" max="11999" width="8.6640625" style="1" customWidth="1"/>
    <col min="12000" max="12000" width="6" style="1" customWidth="1"/>
    <col min="12001" max="12001" width="8.33203125" style="1" customWidth="1"/>
    <col min="12002" max="12005" width="10" style="1" customWidth="1"/>
    <col min="12006" max="12006" width="9" style="1" bestFit="1" customWidth="1"/>
    <col min="12007" max="12035" width="7.5" style="1" customWidth="1"/>
    <col min="12036" max="12036" width="11.1640625" style="1" bestFit="1" customWidth="1"/>
    <col min="12037" max="12041" width="16.5" style="1" customWidth="1"/>
    <col min="12042" max="12042" width="11.6640625" style="1" bestFit="1" customWidth="1"/>
    <col min="12043" max="12043" width="27.5" style="1" customWidth="1"/>
    <col min="12044" max="12044" width="57.6640625" style="1" customWidth="1"/>
    <col min="12045" max="12048" width="4.1640625" style="1" customWidth="1"/>
    <col min="12049" max="12049" width="15.5" style="1" customWidth="1"/>
    <col min="12050" max="12249" width="9.33203125" style="1"/>
    <col min="12250" max="12250" width="6" style="1" bestFit="1" customWidth="1"/>
    <col min="12251" max="12251" width="14" style="1" customWidth="1"/>
    <col min="12252" max="12252" width="13.33203125" style="1" customWidth="1"/>
    <col min="12253" max="12253" width="13.5" style="1" customWidth="1"/>
    <col min="12254" max="12254" width="9.33203125" style="1"/>
    <col min="12255" max="12255" width="8.6640625" style="1" customWidth="1"/>
    <col min="12256" max="12256" width="6" style="1" customWidth="1"/>
    <col min="12257" max="12257" width="8.33203125" style="1" customWidth="1"/>
    <col min="12258" max="12261" width="10" style="1" customWidth="1"/>
    <col min="12262" max="12262" width="9" style="1" bestFit="1" customWidth="1"/>
    <col min="12263" max="12291" width="7.5" style="1" customWidth="1"/>
    <col min="12292" max="12292" width="11.1640625" style="1" bestFit="1" customWidth="1"/>
    <col min="12293" max="12297" width="16.5" style="1" customWidth="1"/>
    <col min="12298" max="12298" width="11.6640625" style="1" bestFit="1" customWidth="1"/>
    <col min="12299" max="12299" width="27.5" style="1" customWidth="1"/>
    <col min="12300" max="12300" width="57.6640625" style="1" customWidth="1"/>
    <col min="12301" max="12304" width="4.1640625" style="1" customWidth="1"/>
    <col min="12305" max="12305" width="15.5" style="1" customWidth="1"/>
    <col min="12306" max="12505" width="9.33203125" style="1"/>
    <col min="12506" max="12506" width="6" style="1" bestFit="1" customWidth="1"/>
    <col min="12507" max="12507" width="14" style="1" customWidth="1"/>
    <col min="12508" max="12508" width="13.33203125" style="1" customWidth="1"/>
    <col min="12509" max="12509" width="13.5" style="1" customWidth="1"/>
    <col min="12510" max="12510" width="9.33203125" style="1"/>
    <col min="12511" max="12511" width="8.6640625" style="1" customWidth="1"/>
    <col min="12512" max="12512" width="6" style="1" customWidth="1"/>
    <col min="12513" max="12513" width="8.33203125" style="1" customWidth="1"/>
    <col min="12514" max="12517" width="10" style="1" customWidth="1"/>
    <col min="12518" max="12518" width="9" style="1" bestFit="1" customWidth="1"/>
    <col min="12519" max="12547" width="7.5" style="1" customWidth="1"/>
    <col min="12548" max="12548" width="11.1640625" style="1" bestFit="1" customWidth="1"/>
    <col min="12549" max="12553" width="16.5" style="1" customWidth="1"/>
    <col min="12554" max="12554" width="11.6640625" style="1" bestFit="1" customWidth="1"/>
    <col min="12555" max="12555" width="27.5" style="1" customWidth="1"/>
    <col min="12556" max="12556" width="57.6640625" style="1" customWidth="1"/>
    <col min="12557" max="12560" width="4.1640625" style="1" customWidth="1"/>
    <col min="12561" max="12561" width="15.5" style="1" customWidth="1"/>
    <col min="12562" max="12761" width="9.33203125" style="1"/>
    <col min="12762" max="12762" width="6" style="1" bestFit="1" customWidth="1"/>
    <col min="12763" max="12763" width="14" style="1" customWidth="1"/>
    <col min="12764" max="12764" width="13.33203125" style="1" customWidth="1"/>
    <col min="12765" max="12765" width="13.5" style="1" customWidth="1"/>
    <col min="12766" max="12766" width="9.33203125" style="1"/>
    <col min="12767" max="12767" width="8.6640625" style="1" customWidth="1"/>
    <col min="12768" max="12768" width="6" style="1" customWidth="1"/>
    <col min="12769" max="12769" width="8.33203125" style="1" customWidth="1"/>
    <col min="12770" max="12773" width="10" style="1" customWidth="1"/>
    <col min="12774" max="12774" width="9" style="1" bestFit="1" customWidth="1"/>
    <col min="12775" max="12803" width="7.5" style="1" customWidth="1"/>
    <col min="12804" max="12804" width="11.1640625" style="1" bestFit="1" customWidth="1"/>
    <col min="12805" max="12809" width="16.5" style="1" customWidth="1"/>
    <col min="12810" max="12810" width="11.6640625" style="1" bestFit="1" customWidth="1"/>
    <col min="12811" max="12811" width="27.5" style="1" customWidth="1"/>
    <col min="12812" max="12812" width="57.6640625" style="1" customWidth="1"/>
    <col min="12813" max="12816" width="4.1640625" style="1" customWidth="1"/>
    <col min="12817" max="12817" width="15.5" style="1" customWidth="1"/>
    <col min="12818" max="13017" width="9.33203125" style="1"/>
    <col min="13018" max="13018" width="6" style="1" bestFit="1" customWidth="1"/>
    <col min="13019" max="13019" width="14" style="1" customWidth="1"/>
    <col min="13020" max="13020" width="13.33203125" style="1" customWidth="1"/>
    <col min="13021" max="13021" width="13.5" style="1" customWidth="1"/>
    <col min="13022" max="13022" width="9.33203125" style="1"/>
    <col min="13023" max="13023" width="8.6640625" style="1" customWidth="1"/>
    <col min="13024" max="13024" width="6" style="1" customWidth="1"/>
    <col min="13025" max="13025" width="8.33203125" style="1" customWidth="1"/>
    <col min="13026" max="13029" width="10" style="1" customWidth="1"/>
    <col min="13030" max="13030" width="9" style="1" bestFit="1" customWidth="1"/>
    <col min="13031" max="13059" width="7.5" style="1" customWidth="1"/>
    <col min="13060" max="13060" width="11.1640625" style="1" bestFit="1" customWidth="1"/>
    <col min="13061" max="13065" width="16.5" style="1" customWidth="1"/>
    <col min="13066" max="13066" width="11.6640625" style="1" bestFit="1" customWidth="1"/>
    <col min="13067" max="13067" width="27.5" style="1" customWidth="1"/>
    <col min="13068" max="13068" width="57.6640625" style="1" customWidth="1"/>
    <col min="13069" max="13072" width="4.1640625" style="1" customWidth="1"/>
    <col min="13073" max="13073" width="15.5" style="1" customWidth="1"/>
    <col min="13074" max="13273" width="9.33203125" style="1"/>
    <col min="13274" max="13274" width="6" style="1" bestFit="1" customWidth="1"/>
    <col min="13275" max="13275" width="14" style="1" customWidth="1"/>
    <col min="13276" max="13276" width="13.33203125" style="1" customWidth="1"/>
    <col min="13277" max="13277" width="13.5" style="1" customWidth="1"/>
    <col min="13278" max="13278" width="9.33203125" style="1"/>
    <col min="13279" max="13279" width="8.6640625" style="1" customWidth="1"/>
    <col min="13280" max="13280" width="6" style="1" customWidth="1"/>
    <col min="13281" max="13281" width="8.33203125" style="1" customWidth="1"/>
    <col min="13282" max="13285" width="10" style="1" customWidth="1"/>
    <col min="13286" max="13286" width="9" style="1" bestFit="1" customWidth="1"/>
    <col min="13287" max="13315" width="7.5" style="1" customWidth="1"/>
    <col min="13316" max="13316" width="11.1640625" style="1" bestFit="1" customWidth="1"/>
    <col min="13317" max="13321" width="16.5" style="1" customWidth="1"/>
    <col min="13322" max="13322" width="11.6640625" style="1" bestFit="1" customWidth="1"/>
    <col min="13323" max="13323" width="27.5" style="1" customWidth="1"/>
    <col min="13324" max="13324" width="57.6640625" style="1" customWidth="1"/>
    <col min="13325" max="13328" width="4.1640625" style="1" customWidth="1"/>
    <col min="13329" max="13329" width="15.5" style="1" customWidth="1"/>
    <col min="13330" max="13529" width="9.33203125" style="1"/>
    <col min="13530" max="13530" width="6" style="1" bestFit="1" customWidth="1"/>
    <col min="13531" max="13531" width="14" style="1" customWidth="1"/>
    <col min="13532" max="13532" width="13.33203125" style="1" customWidth="1"/>
    <col min="13533" max="13533" width="13.5" style="1" customWidth="1"/>
    <col min="13534" max="13534" width="9.33203125" style="1"/>
    <col min="13535" max="13535" width="8.6640625" style="1" customWidth="1"/>
    <col min="13536" max="13536" width="6" style="1" customWidth="1"/>
    <col min="13537" max="13537" width="8.33203125" style="1" customWidth="1"/>
    <col min="13538" max="13541" width="10" style="1" customWidth="1"/>
    <col min="13542" max="13542" width="9" style="1" bestFit="1" customWidth="1"/>
    <col min="13543" max="13571" width="7.5" style="1" customWidth="1"/>
    <col min="13572" max="13572" width="11.1640625" style="1" bestFit="1" customWidth="1"/>
    <col min="13573" max="13577" width="16.5" style="1" customWidth="1"/>
    <col min="13578" max="13578" width="11.6640625" style="1" bestFit="1" customWidth="1"/>
    <col min="13579" max="13579" width="27.5" style="1" customWidth="1"/>
    <col min="13580" max="13580" width="57.6640625" style="1" customWidth="1"/>
    <col min="13581" max="13584" width="4.1640625" style="1" customWidth="1"/>
    <col min="13585" max="13585" width="15.5" style="1" customWidth="1"/>
    <col min="13586" max="13785" width="9.33203125" style="1"/>
    <col min="13786" max="13786" width="6" style="1" bestFit="1" customWidth="1"/>
    <col min="13787" max="13787" width="14" style="1" customWidth="1"/>
    <col min="13788" max="13788" width="13.33203125" style="1" customWidth="1"/>
    <col min="13789" max="13789" width="13.5" style="1" customWidth="1"/>
    <col min="13790" max="13790" width="9.33203125" style="1"/>
    <col min="13791" max="13791" width="8.6640625" style="1" customWidth="1"/>
    <col min="13792" max="13792" width="6" style="1" customWidth="1"/>
    <col min="13793" max="13793" width="8.33203125" style="1" customWidth="1"/>
    <col min="13794" max="13797" width="10" style="1" customWidth="1"/>
    <col min="13798" max="13798" width="9" style="1" bestFit="1" customWidth="1"/>
    <col min="13799" max="13827" width="7.5" style="1" customWidth="1"/>
    <col min="13828" max="13828" width="11.1640625" style="1" bestFit="1" customWidth="1"/>
    <col min="13829" max="13833" width="16.5" style="1" customWidth="1"/>
    <col min="13834" max="13834" width="11.6640625" style="1" bestFit="1" customWidth="1"/>
    <col min="13835" max="13835" width="27.5" style="1" customWidth="1"/>
    <col min="13836" max="13836" width="57.6640625" style="1" customWidth="1"/>
    <col min="13837" max="13840" width="4.1640625" style="1" customWidth="1"/>
    <col min="13841" max="13841" width="15.5" style="1" customWidth="1"/>
    <col min="13842" max="14041" width="9.33203125" style="1"/>
    <col min="14042" max="14042" width="6" style="1" bestFit="1" customWidth="1"/>
    <col min="14043" max="14043" width="14" style="1" customWidth="1"/>
    <col min="14044" max="14044" width="13.33203125" style="1" customWidth="1"/>
    <col min="14045" max="14045" width="13.5" style="1" customWidth="1"/>
    <col min="14046" max="14046" width="9.33203125" style="1"/>
    <col min="14047" max="14047" width="8.6640625" style="1" customWidth="1"/>
    <col min="14048" max="14048" width="6" style="1" customWidth="1"/>
    <col min="14049" max="14049" width="8.33203125" style="1" customWidth="1"/>
    <col min="14050" max="14053" width="10" style="1" customWidth="1"/>
    <col min="14054" max="14054" width="9" style="1" bestFit="1" customWidth="1"/>
    <col min="14055" max="14083" width="7.5" style="1" customWidth="1"/>
    <col min="14084" max="14084" width="11.1640625" style="1" bestFit="1" customWidth="1"/>
    <col min="14085" max="14089" width="16.5" style="1" customWidth="1"/>
    <col min="14090" max="14090" width="11.6640625" style="1" bestFit="1" customWidth="1"/>
    <col min="14091" max="14091" width="27.5" style="1" customWidth="1"/>
    <col min="14092" max="14092" width="57.6640625" style="1" customWidth="1"/>
    <col min="14093" max="14096" width="4.1640625" style="1" customWidth="1"/>
    <col min="14097" max="14097" width="15.5" style="1" customWidth="1"/>
    <col min="14098" max="14297" width="9.33203125" style="1"/>
    <col min="14298" max="14298" width="6" style="1" bestFit="1" customWidth="1"/>
    <col min="14299" max="14299" width="14" style="1" customWidth="1"/>
    <col min="14300" max="14300" width="13.33203125" style="1" customWidth="1"/>
    <col min="14301" max="14301" width="13.5" style="1" customWidth="1"/>
    <col min="14302" max="14302" width="9.33203125" style="1"/>
    <col min="14303" max="14303" width="8.6640625" style="1" customWidth="1"/>
    <col min="14304" max="14304" width="6" style="1" customWidth="1"/>
    <col min="14305" max="14305" width="8.33203125" style="1" customWidth="1"/>
    <col min="14306" max="14309" width="10" style="1" customWidth="1"/>
    <col min="14310" max="14310" width="9" style="1" bestFit="1" customWidth="1"/>
    <col min="14311" max="14339" width="7.5" style="1" customWidth="1"/>
    <col min="14340" max="14340" width="11.1640625" style="1" bestFit="1" customWidth="1"/>
    <col min="14341" max="14345" width="16.5" style="1" customWidth="1"/>
    <col min="14346" max="14346" width="11.6640625" style="1" bestFit="1" customWidth="1"/>
    <col min="14347" max="14347" width="27.5" style="1" customWidth="1"/>
    <col min="14348" max="14348" width="57.6640625" style="1" customWidth="1"/>
    <col min="14349" max="14352" width="4.1640625" style="1" customWidth="1"/>
    <col min="14353" max="14353" width="15.5" style="1" customWidth="1"/>
    <col min="14354" max="14553" width="9.33203125" style="1"/>
    <col min="14554" max="14554" width="6" style="1" bestFit="1" customWidth="1"/>
    <col min="14555" max="14555" width="14" style="1" customWidth="1"/>
    <col min="14556" max="14556" width="13.33203125" style="1" customWidth="1"/>
    <col min="14557" max="14557" width="13.5" style="1" customWidth="1"/>
    <col min="14558" max="14558" width="9.33203125" style="1"/>
    <col min="14559" max="14559" width="8.6640625" style="1" customWidth="1"/>
    <col min="14560" max="14560" width="6" style="1" customWidth="1"/>
    <col min="14561" max="14561" width="8.33203125" style="1" customWidth="1"/>
    <col min="14562" max="14565" width="10" style="1" customWidth="1"/>
    <col min="14566" max="14566" width="9" style="1" bestFit="1" customWidth="1"/>
    <col min="14567" max="14595" width="7.5" style="1" customWidth="1"/>
    <col min="14596" max="14596" width="11.1640625" style="1" bestFit="1" customWidth="1"/>
    <col min="14597" max="14601" width="16.5" style="1" customWidth="1"/>
    <col min="14602" max="14602" width="11.6640625" style="1" bestFit="1" customWidth="1"/>
    <col min="14603" max="14603" width="27.5" style="1" customWidth="1"/>
    <col min="14604" max="14604" width="57.6640625" style="1" customWidth="1"/>
    <col min="14605" max="14608" width="4.1640625" style="1" customWidth="1"/>
    <col min="14609" max="14609" width="15.5" style="1" customWidth="1"/>
    <col min="14610" max="14809" width="9.33203125" style="1"/>
    <col min="14810" max="14810" width="6" style="1" bestFit="1" customWidth="1"/>
    <col min="14811" max="14811" width="14" style="1" customWidth="1"/>
    <col min="14812" max="14812" width="13.33203125" style="1" customWidth="1"/>
    <col min="14813" max="14813" width="13.5" style="1" customWidth="1"/>
    <col min="14814" max="14814" width="9.33203125" style="1"/>
    <col min="14815" max="14815" width="8.6640625" style="1" customWidth="1"/>
    <col min="14816" max="14816" width="6" style="1" customWidth="1"/>
    <col min="14817" max="14817" width="8.33203125" style="1" customWidth="1"/>
    <col min="14818" max="14821" width="10" style="1" customWidth="1"/>
    <col min="14822" max="14822" width="9" style="1" bestFit="1" customWidth="1"/>
    <col min="14823" max="14851" width="7.5" style="1" customWidth="1"/>
    <col min="14852" max="14852" width="11.1640625" style="1" bestFit="1" customWidth="1"/>
    <col min="14853" max="14857" width="16.5" style="1" customWidth="1"/>
    <col min="14858" max="14858" width="11.6640625" style="1" bestFit="1" customWidth="1"/>
    <col min="14859" max="14859" width="27.5" style="1" customWidth="1"/>
    <col min="14860" max="14860" width="57.6640625" style="1" customWidth="1"/>
    <col min="14861" max="14864" width="4.1640625" style="1" customWidth="1"/>
    <col min="14865" max="14865" width="15.5" style="1" customWidth="1"/>
    <col min="14866" max="15065" width="9.33203125" style="1"/>
    <col min="15066" max="15066" width="6" style="1" bestFit="1" customWidth="1"/>
    <col min="15067" max="15067" width="14" style="1" customWidth="1"/>
    <col min="15068" max="15068" width="13.33203125" style="1" customWidth="1"/>
    <col min="15069" max="15069" width="13.5" style="1" customWidth="1"/>
    <col min="15070" max="15070" width="9.33203125" style="1"/>
    <col min="15071" max="15071" width="8.6640625" style="1" customWidth="1"/>
    <col min="15072" max="15072" width="6" style="1" customWidth="1"/>
    <col min="15073" max="15073" width="8.33203125" style="1" customWidth="1"/>
    <col min="15074" max="15077" width="10" style="1" customWidth="1"/>
    <col min="15078" max="15078" width="9" style="1" bestFit="1" customWidth="1"/>
    <col min="15079" max="15107" width="7.5" style="1" customWidth="1"/>
    <col min="15108" max="15108" width="11.1640625" style="1" bestFit="1" customWidth="1"/>
    <col min="15109" max="15113" width="16.5" style="1" customWidth="1"/>
    <col min="15114" max="15114" width="11.6640625" style="1" bestFit="1" customWidth="1"/>
    <col min="15115" max="15115" width="27.5" style="1" customWidth="1"/>
    <col min="15116" max="15116" width="57.6640625" style="1" customWidth="1"/>
    <col min="15117" max="15120" width="4.1640625" style="1" customWidth="1"/>
    <col min="15121" max="15121" width="15.5" style="1" customWidth="1"/>
    <col min="15122" max="15321" width="9.33203125" style="1"/>
    <col min="15322" max="15322" width="6" style="1" bestFit="1" customWidth="1"/>
    <col min="15323" max="15323" width="14" style="1" customWidth="1"/>
    <col min="15324" max="15324" width="13.33203125" style="1" customWidth="1"/>
    <col min="15325" max="15325" width="13.5" style="1" customWidth="1"/>
    <col min="15326" max="15326" width="9.33203125" style="1"/>
    <col min="15327" max="15327" width="8.6640625" style="1" customWidth="1"/>
    <col min="15328" max="15328" width="6" style="1" customWidth="1"/>
    <col min="15329" max="15329" width="8.33203125" style="1" customWidth="1"/>
    <col min="15330" max="15333" width="10" style="1" customWidth="1"/>
    <col min="15334" max="15334" width="9" style="1" bestFit="1" customWidth="1"/>
    <col min="15335" max="15363" width="7.5" style="1" customWidth="1"/>
    <col min="15364" max="15364" width="11.1640625" style="1" bestFit="1" customWidth="1"/>
    <col min="15365" max="15369" width="16.5" style="1" customWidth="1"/>
    <col min="15370" max="15370" width="11.6640625" style="1" bestFit="1" customWidth="1"/>
    <col min="15371" max="15371" width="27.5" style="1" customWidth="1"/>
    <col min="15372" max="15372" width="57.6640625" style="1" customWidth="1"/>
    <col min="15373" max="15376" width="4.1640625" style="1" customWidth="1"/>
    <col min="15377" max="15377" width="15.5" style="1" customWidth="1"/>
    <col min="15378" max="15577" width="9.33203125" style="1"/>
    <col min="15578" max="15578" width="6" style="1" bestFit="1" customWidth="1"/>
    <col min="15579" max="15579" width="14" style="1" customWidth="1"/>
    <col min="15580" max="15580" width="13.33203125" style="1" customWidth="1"/>
    <col min="15581" max="15581" width="13.5" style="1" customWidth="1"/>
    <col min="15582" max="15582" width="9.33203125" style="1"/>
    <col min="15583" max="15583" width="8.6640625" style="1" customWidth="1"/>
    <col min="15584" max="15584" width="6" style="1" customWidth="1"/>
    <col min="15585" max="15585" width="8.33203125" style="1" customWidth="1"/>
    <col min="15586" max="15589" width="10" style="1" customWidth="1"/>
    <col min="15590" max="15590" width="9" style="1" bestFit="1" customWidth="1"/>
    <col min="15591" max="15619" width="7.5" style="1" customWidth="1"/>
    <col min="15620" max="15620" width="11.1640625" style="1" bestFit="1" customWidth="1"/>
    <col min="15621" max="15625" width="16.5" style="1" customWidth="1"/>
    <col min="15626" max="15626" width="11.6640625" style="1" bestFit="1" customWidth="1"/>
    <col min="15627" max="15627" width="27.5" style="1" customWidth="1"/>
    <col min="15628" max="15628" width="57.6640625" style="1" customWidth="1"/>
    <col min="15629" max="15632" width="4.1640625" style="1" customWidth="1"/>
    <col min="15633" max="15633" width="15.5" style="1" customWidth="1"/>
    <col min="15634" max="15833" width="9.33203125" style="1"/>
    <col min="15834" max="15834" width="6" style="1" bestFit="1" customWidth="1"/>
    <col min="15835" max="15835" width="14" style="1" customWidth="1"/>
    <col min="15836" max="15836" width="13.33203125" style="1" customWidth="1"/>
    <col min="15837" max="15837" width="13.5" style="1" customWidth="1"/>
    <col min="15838" max="15838" width="9.33203125" style="1"/>
    <col min="15839" max="15839" width="8.6640625" style="1" customWidth="1"/>
    <col min="15840" max="15840" width="6" style="1" customWidth="1"/>
    <col min="15841" max="15841" width="8.33203125" style="1" customWidth="1"/>
    <col min="15842" max="15845" width="10" style="1" customWidth="1"/>
    <col min="15846" max="15846" width="9" style="1" bestFit="1" customWidth="1"/>
    <col min="15847" max="15875" width="7.5" style="1" customWidth="1"/>
    <col min="15876" max="15876" width="11.1640625" style="1" bestFit="1" customWidth="1"/>
    <col min="15877" max="15881" width="16.5" style="1" customWidth="1"/>
    <col min="15882" max="15882" width="11.6640625" style="1" bestFit="1" customWidth="1"/>
    <col min="15883" max="15883" width="27.5" style="1" customWidth="1"/>
    <col min="15884" max="15884" width="57.6640625" style="1" customWidth="1"/>
    <col min="15885" max="15888" width="4.1640625" style="1" customWidth="1"/>
    <col min="15889" max="15889" width="15.5" style="1" customWidth="1"/>
    <col min="15890" max="16089" width="9.33203125" style="1"/>
    <col min="16090" max="16090" width="6" style="1" bestFit="1" customWidth="1"/>
    <col min="16091" max="16091" width="14" style="1" customWidth="1"/>
    <col min="16092" max="16092" width="13.33203125" style="1" customWidth="1"/>
    <col min="16093" max="16093" width="13.5" style="1" customWidth="1"/>
    <col min="16094" max="16094" width="9.33203125" style="1"/>
    <col min="16095" max="16095" width="8.6640625" style="1" customWidth="1"/>
    <col min="16096" max="16096" width="6" style="1" customWidth="1"/>
    <col min="16097" max="16097" width="8.33203125" style="1" customWidth="1"/>
    <col min="16098" max="16101" width="10" style="1" customWidth="1"/>
    <col min="16102" max="16102" width="9" style="1" bestFit="1" customWidth="1"/>
    <col min="16103" max="16131" width="7.5" style="1" customWidth="1"/>
    <col min="16132" max="16132" width="11.1640625" style="1" bestFit="1" customWidth="1"/>
    <col min="16133" max="16137" width="16.5" style="1" customWidth="1"/>
    <col min="16138" max="16138" width="11.6640625" style="1" bestFit="1" customWidth="1"/>
    <col min="16139" max="16139" width="27.5" style="1" customWidth="1"/>
    <col min="16140" max="16140" width="57.6640625" style="1" customWidth="1"/>
    <col min="16141" max="16144" width="4.1640625" style="1" customWidth="1"/>
    <col min="16145" max="16145" width="15.5" style="1" customWidth="1"/>
    <col min="16146" max="16371" width="9.33203125" style="1"/>
    <col min="16372" max="16384" width="9.1640625" style="1" customWidth="1"/>
  </cols>
  <sheetData>
    <row r="1" spans="1:24" ht="15" thickBot="1"/>
    <row r="2" spans="1:24" ht="27" thickBot="1">
      <c r="A2" s="243" t="s">
        <v>75</v>
      </c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5"/>
      <c r="X2" s="56"/>
    </row>
    <row r="3" spans="1:24" ht="27" thickBot="1">
      <c r="A3" s="74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57"/>
      <c r="N3" s="57"/>
      <c r="O3" s="57"/>
      <c r="P3" s="57"/>
      <c r="Q3" s="57"/>
      <c r="R3" s="57"/>
      <c r="S3" s="57"/>
      <c r="T3" s="57"/>
      <c r="U3" s="57"/>
      <c r="V3" s="57"/>
      <c r="W3" s="58"/>
    </row>
    <row r="4" spans="1:24" ht="27" customHeight="1" thickBot="1">
      <c r="A4" s="42" t="s">
        <v>76</v>
      </c>
      <c r="B4" s="43"/>
      <c r="C4" s="44"/>
      <c r="D4" s="197" t="s">
        <v>77</v>
      </c>
      <c r="E4" s="198"/>
      <c r="F4" s="57"/>
      <c r="G4" s="42" t="s">
        <v>78</v>
      </c>
      <c r="H4" s="43"/>
      <c r="I4" s="44"/>
      <c r="J4" s="248"/>
      <c r="K4" s="200"/>
      <c r="L4" s="62"/>
      <c r="M4" s="238" t="s">
        <v>79</v>
      </c>
      <c r="N4" s="239"/>
      <c r="O4" s="239"/>
      <c r="P4" s="239"/>
      <c r="Q4" s="239"/>
      <c r="R4" s="240"/>
      <c r="S4" s="61"/>
      <c r="T4" s="238" t="s">
        <v>80</v>
      </c>
      <c r="U4" s="240"/>
      <c r="V4" s="57"/>
      <c r="W4" s="58"/>
    </row>
    <row r="5" spans="1:24" ht="29.25" customHeight="1" thickBot="1">
      <c r="A5" s="42" t="s">
        <v>81</v>
      </c>
      <c r="B5" s="43"/>
      <c r="C5" s="44"/>
      <c r="D5" s="246" t="s">
        <v>82</v>
      </c>
      <c r="E5" s="247"/>
      <c r="F5" s="57"/>
      <c r="G5" s="42" t="s">
        <v>83</v>
      </c>
      <c r="H5" s="43"/>
      <c r="I5" s="44"/>
      <c r="J5" s="75"/>
      <c r="K5" s="76"/>
      <c r="L5" s="63"/>
      <c r="M5" s="232" t="s">
        <v>84</v>
      </c>
      <c r="N5" s="230" t="s">
        <v>85</v>
      </c>
      <c r="O5" s="234" t="s">
        <v>86</v>
      </c>
      <c r="P5" s="232" t="s">
        <v>84</v>
      </c>
      <c r="Q5" s="230" t="s">
        <v>85</v>
      </c>
      <c r="R5" s="236" t="s">
        <v>86</v>
      </c>
      <c r="S5" s="57"/>
      <c r="T5" s="232" t="s">
        <v>84</v>
      </c>
      <c r="U5" s="236" t="s">
        <v>86</v>
      </c>
      <c r="V5" s="57"/>
      <c r="W5" s="58"/>
    </row>
    <row r="6" spans="1:24" ht="19.5" customHeight="1" thickBot="1">
      <c r="A6" s="73"/>
      <c r="B6" s="73"/>
      <c r="C6" s="73"/>
      <c r="D6" s="73"/>
      <c r="E6" s="73"/>
      <c r="F6" s="57"/>
      <c r="G6" s="73"/>
      <c r="H6" s="57"/>
      <c r="I6" s="57"/>
      <c r="J6" s="57"/>
      <c r="K6" s="57"/>
      <c r="L6" s="57"/>
      <c r="M6" s="233"/>
      <c r="N6" s="231"/>
      <c r="O6" s="235"/>
      <c r="P6" s="241"/>
      <c r="Q6" s="231"/>
      <c r="R6" s="237"/>
      <c r="S6" s="57"/>
      <c r="T6" s="233"/>
      <c r="U6" s="237"/>
      <c r="V6" s="57"/>
      <c r="W6" s="58"/>
    </row>
    <row r="7" spans="1:24" ht="19.5" thickBot="1">
      <c r="A7" s="194" t="s">
        <v>87</v>
      </c>
      <c r="B7" s="195"/>
      <c r="C7" s="196"/>
      <c r="D7" s="197" t="s">
        <v>137</v>
      </c>
      <c r="E7" s="198"/>
      <c r="F7" s="57"/>
      <c r="G7" s="194" t="s">
        <v>88</v>
      </c>
      <c r="H7" s="195"/>
      <c r="I7" s="196"/>
      <c r="J7" s="199"/>
      <c r="K7" s="200"/>
      <c r="L7" s="57"/>
      <c r="M7" s="77" t="s">
        <v>28</v>
      </c>
      <c r="N7" s="78">
        <f>IFERROR(VLOOKUP(M7,$D$15:$E$134,2,FALSE),)</f>
        <v>0</v>
      </c>
      <c r="O7" s="89"/>
      <c r="P7" s="92" t="s">
        <v>36</v>
      </c>
      <c r="Q7" s="86">
        <f>IFERROR(VLOOKUP(P7,$D$15:$E$134,2,FALSE),)</f>
        <v>0</v>
      </c>
      <c r="R7" s="79"/>
      <c r="S7" s="57"/>
      <c r="T7" s="95" t="s">
        <v>89</v>
      </c>
      <c r="U7" s="79"/>
      <c r="V7" s="57"/>
      <c r="W7" s="58"/>
    </row>
    <row r="8" spans="1:24" ht="18.75" thickBot="1">
      <c r="A8" s="194" t="s">
        <v>90</v>
      </c>
      <c r="B8" s="195"/>
      <c r="C8" s="196"/>
      <c r="D8" s="201" t="s">
        <v>134</v>
      </c>
      <c r="E8" s="202"/>
      <c r="F8" s="57"/>
      <c r="G8" s="194" t="s">
        <v>92</v>
      </c>
      <c r="H8" s="195"/>
      <c r="I8" s="196"/>
      <c r="J8" s="199"/>
      <c r="K8" s="200"/>
      <c r="L8" s="57"/>
      <c r="M8" s="80" t="s">
        <v>93</v>
      </c>
      <c r="N8" s="81" t="str">
        <f>IFERROR(VLOOKUP(M8,$D$15:$E$134,2,FALSE),)</f>
        <v>CAT 4a/4 - Genuine Fit</v>
      </c>
      <c r="O8" s="90"/>
      <c r="P8" s="93" t="s">
        <v>94</v>
      </c>
      <c r="Q8" s="87">
        <f t="shared" ref="Q8:Q11" si="0">IFERROR(VLOOKUP(P8,$D$15:$E$134,2,FALSE),)</f>
        <v>0</v>
      </c>
      <c r="R8" s="82"/>
      <c r="S8" s="57"/>
      <c r="T8" s="96" t="s">
        <v>95</v>
      </c>
      <c r="U8" s="82"/>
      <c r="V8" s="57"/>
      <c r="W8" s="58"/>
    </row>
    <row r="9" spans="1:24" ht="19.5" customHeight="1" thickBot="1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64"/>
      <c r="M9" s="80" t="s">
        <v>32</v>
      </c>
      <c r="N9" s="81" t="str">
        <f>IFERROR(VLOOKUP(M9,$D$15:$E$134,2,FALSE),)</f>
        <v>CAT 4a/4 - Genuine Fit</v>
      </c>
      <c r="O9" s="90"/>
      <c r="P9" s="93" t="s">
        <v>96</v>
      </c>
      <c r="Q9" s="87" t="str">
        <f t="shared" si="0"/>
        <v>CAT 4b/5 - Genuine Unfit</v>
      </c>
      <c r="R9" s="82"/>
      <c r="S9" s="57"/>
      <c r="T9" s="83" t="s">
        <v>97</v>
      </c>
      <c r="U9" s="85"/>
      <c r="V9" s="57"/>
      <c r="W9" s="58"/>
    </row>
    <row r="10" spans="1:24" ht="19.5" customHeight="1" thickBot="1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83" t="s">
        <v>33</v>
      </c>
      <c r="N10" s="84">
        <f>IFERROR(VLOOKUP(M10,$D$15:$E$134,2,FALSE),)</f>
        <v>0</v>
      </c>
      <c r="O10" s="91"/>
      <c r="P10" s="93" t="s">
        <v>98</v>
      </c>
      <c r="Q10" s="87">
        <f t="shared" si="0"/>
        <v>0</v>
      </c>
      <c r="R10" s="82"/>
      <c r="S10" s="57"/>
      <c r="T10" s="57"/>
      <c r="U10" s="57"/>
      <c r="V10" s="57"/>
      <c r="W10" s="58"/>
    </row>
    <row r="11" spans="1:24" ht="22.5" customHeight="1" thickBot="1">
      <c r="A11" s="65"/>
      <c r="B11" s="66"/>
      <c r="C11" s="67"/>
      <c r="D11" s="57"/>
      <c r="E11" s="57"/>
      <c r="F11" s="67"/>
      <c r="G11" s="67"/>
      <c r="H11" s="67"/>
      <c r="I11" s="67"/>
      <c r="J11" s="68"/>
      <c r="K11" s="57"/>
      <c r="L11" s="57"/>
      <c r="M11" s="242"/>
      <c r="N11" s="242"/>
      <c r="O11" s="242"/>
      <c r="P11" s="94" t="s">
        <v>99</v>
      </c>
      <c r="Q11" s="88">
        <f t="shared" si="0"/>
        <v>0</v>
      </c>
      <c r="R11" s="85"/>
      <c r="S11" s="57"/>
      <c r="T11" s="57"/>
      <c r="U11" s="57"/>
      <c r="V11" s="57"/>
      <c r="W11" s="58"/>
    </row>
    <row r="12" spans="1:24" ht="15" customHeight="1" thickBot="1">
      <c r="A12" s="69"/>
      <c r="B12" s="70"/>
      <c r="C12" s="71"/>
      <c r="D12" s="59"/>
      <c r="E12" s="59"/>
      <c r="F12" s="71"/>
      <c r="G12" s="71"/>
      <c r="H12" s="71"/>
      <c r="I12" s="71"/>
      <c r="J12" s="72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60"/>
    </row>
    <row r="13" spans="1:24" s="2" customFormat="1" ht="42.75" customHeight="1" thickBot="1">
      <c r="A13" s="18"/>
      <c r="B13" s="18"/>
      <c r="C13" s="19"/>
      <c r="D13" s="19"/>
      <c r="E13" s="19"/>
      <c r="F13" s="19"/>
      <c r="G13" s="19"/>
      <c r="H13" s="19"/>
      <c r="I13" s="19"/>
      <c r="J13" s="20"/>
      <c r="K13" s="17"/>
      <c r="L13" s="16"/>
    </row>
    <row r="14" spans="1:24" ht="50.25" customHeight="1" thickBot="1">
      <c r="A14" s="97" t="s">
        <v>100</v>
      </c>
      <c r="B14" s="98" t="s">
        <v>101</v>
      </c>
      <c r="C14" s="99" t="s">
        <v>102</v>
      </c>
      <c r="D14" s="99" t="s">
        <v>84</v>
      </c>
      <c r="E14" s="99" t="s">
        <v>103</v>
      </c>
      <c r="F14" s="99" t="s">
        <v>104</v>
      </c>
      <c r="G14" s="99" t="s">
        <v>105</v>
      </c>
      <c r="H14" s="100" t="s">
        <v>106</v>
      </c>
      <c r="I14" s="98" t="s">
        <v>107</v>
      </c>
      <c r="J14" s="101" t="s">
        <v>108</v>
      </c>
      <c r="K14" s="101" t="s">
        <v>89</v>
      </c>
      <c r="L14" s="101" t="s">
        <v>95</v>
      </c>
      <c r="M14" s="101" t="s">
        <v>97</v>
      </c>
      <c r="N14" s="101" t="s">
        <v>109</v>
      </c>
      <c r="O14" s="101" t="s">
        <v>110</v>
      </c>
      <c r="P14" s="101" t="s">
        <v>111</v>
      </c>
      <c r="Q14" s="101" t="s">
        <v>112</v>
      </c>
      <c r="R14" s="101" t="s">
        <v>113</v>
      </c>
      <c r="S14" s="101" t="s">
        <v>114</v>
      </c>
      <c r="T14" s="101" t="s">
        <v>115</v>
      </c>
      <c r="U14" s="101" t="s">
        <v>116</v>
      </c>
      <c r="V14" s="102" t="s">
        <v>117</v>
      </c>
      <c r="W14" s="102" t="s">
        <v>118</v>
      </c>
    </row>
    <row r="15" spans="1:24" ht="15" customHeight="1" thickBot="1">
      <c r="A15" s="212">
        <v>1</v>
      </c>
      <c r="B15" s="215" t="s">
        <v>128</v>
      </c>
      <c r="C15" s="218">
        <v>100</v>
      </c>
      <c r="D15" s="203" t="s">
        <v>93</v>
      </c>
      <c r="E15" s="203" t="s">
        <v>119</v>
      </c>
      <c r="F15" s="219">
        <v>0.97</v>
      </c>
      <c r="G15" s="203" t="s">
        <v>120</v>
      </c>
      <c r="H15" s="206">
        <v>100</v>
      </c>
      <c r="I15" s="51" t="s">
        <v>121</v>
      </c>
      <c r="J15" s="48"/>
      <c r="K15" s="45"/>
      <c r="L15" s="33"/>
      <c r="M15" s="33"/>
      <c r="N15" s="33"/>
      <c r="O15" s="34"/>
      <c r="P15" s="41">
        <f>IFERROR(O15/J15,)</f>
        <v>0</v>
      </c>
      <c r="Q15" s="41">
        <f>IFERROR(M15/J15,)</f>
        <v>0</v>
      </c>
      <c r="R15" s="41">
        <f>IFERROR(N15/J15,)</f>
        <v>0</v>
      </c>
      <c r="S15" s="41">
        <f>IFERROR(K15/J15,)</f>
        <v>0</v>
      </c>
      <c r="T15" s="41">
        <f>IFERROR(L15/J15,)</f>
        <v>0</v>
      </c>
      <c r="U15" s="222" t="e">
        <f>IF(E15="CAT 1 - Reject",IF(P15&lt;&gt;"",P15*J15+IF(P16&lt;&gt;"",P16*J16+IF(P17&lt;&gt;"",P17*J17+IF(P18&lt;&gt;"",P18*J18,"blank"))))/SUM(J15:J18),IF(E15="CAT 2 - Counterfeit",IF(Q15&lt;&gt;"",Q15*J15+IF(Q16&lt;&gt;"",Q16*J16+IF(Q17&lt;&gt;"",Q17*J17+IF(Q18&lt;&gt;"",Q18*J18,"blank"))))/SUM(J15:J18),IF(E15="CAT 3 - Suspect",IF(R15&lt;&gt;"",R15*J15+IF(R16&lt;&gt;"",R16*J16+IF(R17&lt;&gt;"",R17*J17+IF(R18&lt;&gt;"",R18*J18,"blank"))))/SUM(J15:J18),IF(E15="CAT 4a/4 - Genuine Fit",IF(S15&lt;&gt;"",S15*J15+IF(S16&lt;&gt;"",S16*J16+IF(S17&lt;&gt;"",S17*J17+IF(S18&lt;&gt;"",S18*J18,"blank"))))/SUM(J15:J18),IF(E15="CAT 4b/5 - Genuine Unfit",IF(T15&lt;&gt;"",T15*J15+IF(T16&lt;&gt;"",T16*J16+IF(T17&lt;&gt;"",T17*J17+IF(T18&lt;&gt;"",T18*J18,"blank"))))/SUM(J15:J18),"")))))</f>
        <v>#DIV/0!</v>
      </c>
      <c r="V15" s="225"/>
      <c r="W15" s="209"/>
    </row>
    <row r="16" spans="1:24" ht="15" customHeight="1" thickBot="1">
      <c r="A16" s="213"/>
      <c r="B16" s="216"/>
      <c r="C16" s="204"/>
      <c r="D16" s="204"/>
      <c r="E16" s="204"/>
      <c r="F16" s="220"/>
      <c r="G16" s="204"/>
      <c r="H16" s="207"/>
      <c r="I16" s="52" t="s">
        <v>122</v>
      </c>
      <c r="J16" s="49"/>
      <c r="K16" s="46"/>
      <c r="L16" s="31"/>
      <c r="M16" s="31"/>
      <c r="N16" s="31"/>
      <c r="O16" s="35"/>
      <c r="P16" s="41">
        <f t="shared" ref="P16:P79" si="1">IFERROR(O16/J16,)</f>
        <v>0</v>
      </c>
      <c r="Q16" s="41">
        <f t="shared" ref="Q16:Q79" si="2">IFERROR(M16/J16,)</f>
        <v>0</v>
      </c>
      <c r="R16" s="41">
        <f t="shared" ref="R16:R79" si="3">IFERROR(N16/J16,)</f>
        <v>0</v>
      </c>
      <c r="S16" s="41">
        <f t="shared" ref="S16:S79" si="4">IFERROR(K16/J16,)</f>
        <v>0</v>
      </c>
      <c r="T16" s="41">
        <f t="shared" ref="T16:T79" si="5">IFERROR(L16/J16,)</f>
        <v>0</v>
      </c>
      <c r="U16" s="223"/>
      <c r="V16" s="226"/>
      <c r="W16" s="210"/>
    </row>
    <row r="17" spans="1:23" ht="15" thickBot="1">
      <c r="A17" s="213"/>
      <c r="B17" s="216"/>
      <c r="C17" s="204"/>
      <c r="D17" s="204"/>
      <c r="E17" s="204"/>
      <c r="F17" s="220"/>
      <c r="G17" s="204"/>
      <c r="H17" s="207"/>
      <c r="I17" s="52" t="s">
        <v>123</v>
      </c>
      <c r="J17" s="49"/>
      <c r="K17" s="46"/>
      <c r="L17" s="31"/>
      <c r="M17" s="31"/>
      <c r="N17" s="31"/>
      <c r="O17" s="35"/>
      <c r="P17" s="41">
        <f t="shared" si="1"/>
        <v>0</v>
      </c>
      <c r="Q17" s="41">
        <f t="shared" si="2"/>
        <v>0</v>
      </c>
      <c r="R17" s="41">
        <f t="shared" si="3"/>
        <v>0</v>
      </c>
      <c r="S17" s="41">
        <f t="shared" si="4"/>
        <v>0</v>
      </c>
      <c r="T17" s="41">
        <f t="shared" si="5"/>
        <v>0</v>
      </c>
      <c r="U17" s="223"/>
      <c r="V17" s="226"/>
      <c r="W17" s="210"/>
    </row>
    <row r="18" spans="1:23" ht="15" thickBot="1">
      <c r="A18" s="214"/>
      <c r="B18" s="217"/>
      <c r="C18" s="205"/>
      <c r="D18" s="205"/>
      <c r="E18" s="205"/>
      <c r="F18" s="221"/>
      <c r="G18" s="205"/>
      <c r="H18" s="208"/>
      <c r="I18" s="53" t="s">
        <v>124</v>
      </c>
      <c r="J18" s="50"/>
      <c r="K18" s="47"/>
      <c r="L18" s="36"/>
      <c r="M18" s="36"/>
      <c r="N18" s="36"/>
      <c r="O18" s="37"/>
      <c r="P18" s="41">
        <f t="shared" si="1"/>
        <v>0</v>
      </c>
      <c r="Q18" s="41">
        <f t="shared" si="2"/>
        <v>0</v>
      </c>
      <c r="R18" s="41">
        <f t="shared" si="3"/>
        <v>0</v>
      </c>
      <c r="S18" s="41">
        <f t="shared" si="4"/>
        <v>0</v>
      </c>
      <c r="T18" s="41">
        <f t="shared" si="5"/>
        <v>0</v>
      </c>
      <c r="U18" s="224"/>
      <c r="V18" s="227"/>
      <c r="W18" s="211"/>
    </row>
    <row r="19" spans="1:23" ht="15" thickBot="1">
      <c r="A19" s="212">
        <v>2</v>
      </c>
      <c r="B19" s="215" t="s">
        <v>128</v>
      </c>
      <c r="C19" s="218">
        <v>100</v>
      </c>
      <c r="D19" s="203" t="s">
        <v>125</v>
      </c>
      <c r="E19" s="203" t="s">
        <v>119</v>
      </c>
      <c r="F19" s="219">
        <v>0.95</v>
      </c>
      <c r="G19" s="203" t="s">
        <v>120</v>
      </c>
      <c r="H19" s="206">
        <v>88</v>
      </c>
      <c r="I19" s="51" t="s">
        <v>121</v>
      </c>
      <c r="J19" s="50"/>
      <c r="K19" s="32"/>
      <c r="L19" s="33"/>
      <c r="M19" s="33"/>
      <c r="N19" s="33"/>
      <c r="O19" s="34"/>
      <c r="P19" s="41"/>
      <c r="Q19" s="41"/>
      <c r="R19" s="41">
        <f t="shared" si="3"/>
        <v>0</v>
      </c>
      <c r="S19" s="41">
        <f t="shared" si="4"/>
        <v>0</v>
      </c>
      <c r="T19" s="41">
        <f t="shared" si="5"/>
        <v>0</v>
      </c>
      <c r="U19" s="222" t="e">
        <f>IF(E19="CAT 1 - Reject",IF(P19&lt;&gt;"",P19*J19+IF(P20&lt;&gt;"",P20*J20+IF(P21&lt;&gt;"",P21*J21+IF(P22&lt;&gt;"",P22*J22,"blank"))))/SUM(J19:J22),IF(E19="CAT 2 - Counterfeit",IF(Q19&lt;&gt;"",Q19*J19+IF(Q20&lt;&gt;"",Q20*J20+IF(Q21&lt;&gt;"",Q21*J21+IF(Q22&lt;&gt;"",Q22*J22,"blank"))))/SUM(J19:J22),IF(E19="CAT 3 - Suspect",IF(R19&lt;&gt;"",R19*J19+IF(R20&lt;&gt;"",R20*J20+IF(R21&lt;&gt;"",R21*J21+IF(R22&lt;&gt;"",R22*J22,"blank"))))/SUM(J19:J22),IF(E19="CAT 4a/4 - Genuine Fit",IF(S19&lt;&gt;"",S19*J19+IF(S20&lt;&gt;"",S20*J20+IF(S21&lt;&gt;"",S21*J21+IF(S22&lt;&gt;"",S22*J22,"blank"))))/SUM(J19:J22),IF(E19="CAT 4b/5 - Genuine Unfit",IF(T19&lt;&gt;"",T19*J19+IF(T20&lt;&gt;"",T20*J20+IF(T21&lt;&gt;"",T21*J21+IF(T22&lt;&gt;"",T22*J22,"blank"))))/SUM(J19:J22),"")))))</f>
        <v>#DIV/0!</v>
      </c>
      <c r="V19" s="225"/>
      <c r="W19" s="209"/>
    </row>
    <row r="20" spans="1:23" ht="15" thickBot="1">
      <c r="A20" s="213"/>
      <c r="B20" s="216"/>
      <c r="C20" s="204"/>
      <c r="D20" s="204"/>
      <c r="E20" s="204"/>
      <c r="F20" s="220"/>
      <c r="G20" s="204"/>
      <c r="H20" s="207"/>
      <c r="I20" s="52" t="s">
        <v>122</v>
      </c>
      <c r="J20" s="50"/>
      <c r="K20" s="24"/>
      <c r="L20" s="31"/>
      <c r="M20" s="31"/>
      <c r="N20" s="31"/>
      <c r="O20" s="35"/>
      <c r="P20" s="41"/>
      <c r="Q20" s="41">
        <f t="shared" si="2"/>
        <v>0</v>
      </c>
      <c r="R20" s="41">
        <f t="shared" si="3"/>
        <v>0</v>
      </c>
      <c r="S20" s="41">
        <f t="shared" si="4"/>
        <v>0</v>
      </c>
      <c r="T20" s="41">
        <f t="shared" si="5"/>
        <v>0</v>
      </c>
      <c r="U20" s="223"/>
      <c r="V20" s="226"/>
      <c r="W20" s="210"/>
    </row>
    <row r="21" spans="1:23" ht="15" thickBot="1">
      <c r="A21" s="213"/>
      <c r="B21" s="216"/>
      <c r="C21" s="204"/>
      <c r="D21" s="204"/>
      <c r="E21" s="204"/>
      <c r="F21" s="220"/>
      <c r="G21" s="204"/>
      <c r="H21" s="207"/>
      <c r="I21" s="52" t="s">
        <v>123</v>
      </c>
      <c r="J21" s="49"/>
      <c r="K21" s="24"/>
      <c r="L21" s="31"/>
      <c r="M21" s="31"/>
      <c r="N21" s="31"/>
      <c r="O21" s="35"/>
      <c r="P21" s="41">
        <f t="shared" si="1"/>
        <v>0</v>
      </c>
      <c r="Q21" s="41">
        <f t="shared" si="2"/>
        <v>0</v>
      </c>
      <c r="R21" s="41">
        <f t="shared" si="3"/>
        <v>0</v>
      </c>
      <c r="S21" s="41">
        <f t="shared" si="4"/>
        <v>0</v>
      </c>
      <c r="T21" s="41">
        <f t="shared" si="5"/>
        <v>0</v>
      </c>
      <c r="U21" s="223"/>
      <c r="V21" s="226"/>
      <c r="W21" s="210"/>
    </row>
    <row r="22" spans="1:23" ht="15" thickBot="1">
      <c r="A22" s="214"/>
      <c r="B22" s="217"/>
      <c r="C22" s="205"/>
      <c r="D22" s="205"/>
      <c r="E22" s="205"/>
      <c r="F22" s="221"/>
      <c r="G22" s="205"/>
      <c r="H22" s="208"/>
      <c r="I22" s="53" t="s">
        <v>124</v>
      </c>
      <c r="J22" s="50"/>
      <c r="K22" s="38"/>
      <c r="L22" s="39"/>
      <c r="M22" s="39"/>
      <c r="N22" s="39"/>
      <c r="O22" s="40"/>
      <c r="P22" s="41">
        <f t="shared" si="1"/>
        <v>0</v>
      </c>
      <c r="Q22" s="41">
        <f t="shared" si="2"/>
        <v>0</v>
      </c>
      <c r="R22" s="41">
        <f t="shared" si="3"/>
        <v>0</v>
      </c>
      <c r="S22" s="41">
        <f t="shared" si="4"/>
        <v>0</v>
      </c>
      <c r="T22" s="41">
        <f t="shared" si="5"/>
        <v>0</v>
      </c>
      <c r="U22" s="224"/>
      <c r="V22" s="227"/>
      <c r="W22" s="211"/>
    </row>
    <row r="23" spans="1:23" ht="15" thickBot="1">
      <c r="A23" s="212">
        <v>3</v>
      </c>
      <c r="B23" s="215" t="s">
        <v>128</v>
      </c>
      <c r="C23" s="218">
        <v>100</v>
      </c>
      <c r="D23" s="203" t="s">
        <v>96</v>
      </c>
      <c r="E23" s="203" t="s">
        <v>126</v>
      </c>
      <c r="F23" s="219">
        <v>0.85</v>
      </c>
      <c r="G23" s="203" t="s">
        <v>120</v>
      </c>
      <c r="H23" s="206">
        <v>62</v>
      </c>
      <c r="I23" s="51" t="s">
        <v>121</v>
      </c>
      <c r="J23" s="48"/>
      <c r="K23" s="32"/>
      <c r="L23" s="33"/>
      <c r="M23" s="33"/>
      <c r="N23" s="33"/>
      <c r="O23" s="34"/>
      <c r="P23" s="41"/>
      <c r="Q23" s="41">
        <f t="shared" si="2"/>
        <v>0</v>
      </c>
      <c r="R23" s="41">
        <f t="shared" si="3"/>
        <v>0</v>
      </c>
      <c r="S23" s="41">
        <f t="shared" si="4"/>
        <v>0</v>
      </c>
      <c r="T23" s="41"/>
      <c r="U23" s="222" t="e">
        <f>IF(E23="CAT 1 - Reject",IF(P23&lt;&gt;"",P23*J23+IF(P24&lt;&gt;"",P24*J24+IF(P25&lt;&gt;"",P25*J25+IF(P26&lt;&gt;"",P26*J26,"blank"))))/SUM(J23:J26),IF(E23="CAT 2 - Counterfeit",IF(Q23&lt;&gt;"",Q23*J23+IF(Q24&lt;&gt;"",Q24*J24+IF(Q25&lt;&gt;"",Q25*J25+IF(Q26&lt;&gt;"",Q26*J26,"blank"))))/SUM(J23:J26),IF(E23="CAT 3 - Suspect",IF(R23&lt;&gt;"",R23*J23+IF(R24&lt;&gt;"",R24*J24+IF(R25&lt;&gt;"",R25*J25+IF(R26&lt;&gt;"",R26*J26,"blank"))))/SUM(J23:J26),IF(E23="CAT 4a/4 - Genuine Fit",IF(S23&lt;&gt;"",S23*J23+IF(S24&lt;&gt;"",S24*J24+IF(S25&lt;&gt;"",S25*J25+IF(S26&lt;&gt;"",S26*J26,"blank"))))/SUM(J23:J26),IF(E23="CAT 4b/5 - Genuine Unfit",IF(T23&lt;&gt;"",T23*J23+IF(T24&lt;&gt;"",T24*J24+IF(T25&lt;&gt;"",T25*J25+IF(T26&lt;&gt;"",T26*J26,"blank"))))/SUM(J23:J26),"")))))</f>
        <v>#DIV/0!</v>
      </c>
      <c r="V23" s="225"/>
      <c r="W23" s="209"/>
    </row>
    <row r="24" spans="1:23" ht="15" thickBot="1">
      <c r="A24" s="213"/>
      <c r="B24" s="216"/>
      <c r="C24" s="204"/>
      <c r="D24" s="204"/>
      <c r="E24" s="204"/>
      <c r="F24" s="220"/>
      <c r="G24" s="204"/>
      <c r="H24" s="207"/>
      <c r="I24" s="52" t="s">
        <v>122</v>
      </c>
      <c r="J24" s="49"/>
      <c r="K24" s="24"/>
      <c r="L24" s="31"/>
      <c r="M24" s="31"/>
      <c r="N24" s="31"/>
      <c r="O24" s="35"/>
      <c r="P24" s="41">
        <f t="shared" si="1"/>
        <v>0</v>
      </c>
      <c r="Q24" s="41">
        <f t="shared" si="2"/>
        <v>0</v>
      </c>
      <c r="R24" s="41">
        <f t="shared" si="3"/>
        <v>0</v>
      </c>
      <c r="S24" s="41">
        <f t="shared" si="4"/>
        <v>0</v>
      </c>
      <c r="T24" s="41"/>
      <c r="U24" s="223"/>
      <c r="V24" s="226"/>
      <c r="W24" s="210"/>
    </row>
    <row r="25" spans="1:23" ht="15" thickBot="1">
      <c r="A25" s="213"/>
      <c r="B25" s="216"/>
      <c r="C25" s="204"/>
      <c r="D25" s="204"/>
      <c r="E25" s="204"/>
      <c r="F25" s="220"/>
      <c r="G25" s="204"/>
      <c r="H25" s="207"/>
      <c r="I25" s="52" t="s">
        <v>123</v>
      </c>
      <c r="J25" s="49"/>
      <c r="K25" s="24"/>
      <c r="L25" s="31"/>
      <c r="M25" s="31"/>
      <c r="N25" s="31"/>
      <c r="O25" s="35"/>
      <c r="P25" s="41">
        <f t="shared" si="1"/>
        <v>0</v>
      </c>
      <c r="Q25" s="41">
        <f t="shared" si="2"/>
        <v>0</v>
      </c>
      <c r="R25" s="41">
        <f t="shared" si="3"/>
        <v>0</v>
      </c>
      <c r="S25" s="41">
        <f t="shared" si="4"/>
        <v>0</v>
      </c>
      <c r="T25" s="41"/>
      <c r="U25" s="223"/>
      <c r="V25" s="226"/>
      <c r="W25" s="210"/>
    </row>
    <row r="26" spans="1:23" ht="15" thickBot="1">
      <c r="A26" s="214"/>
      <c r="B26" s="217"/>
      <c r="C26" s="205"/>
      <c r="D26" s="205"/>
      <c r="E26" s="205"/>
      <c r="F26" s="221"/>
      <c r="G26" s="205"/>
      <c r="H26" s="208"/>
      <c r="I26" s="53" t="s">
        <v>124</v>
      </c>
      <c r="J26" s="50"/>
      <c r="K26" s="25"/>
      <c r="L26" s="36"/>
      <c r="M26" s="36"/>
      <c r="N26" s="36"/>
      <c r="O26" s="37"/>
      <c r="P26" s="41">
        <f t="shared" si="1"/>
        <v>0</v>
      </c>
      <c r="Q26" s="41">
        <f t="shared" si="2"/>
        <v>0</v>
      </c>
      <c r="R26" s="41">
        <f t="shared" si="3"/>
        <v>0</v>
      </c>
      <c r="S26" s="41">
        <f t="shared" si="4"/>
        <v>0</v>
      </c>
      <c r="T26" s="41"/>
      <c r="U26" s="224"/>
      <c r="V26" s="227"/>
      <c r="W26" s="211"/>
    </row>
    <row r="27" spans="1:23" ht="15" thickBot="1">
      <c r="A27" s="212">
        <v>4</v>
      </c>
      <c r="B27" s="215"/>
      <c r="C27" s="218"/>
      <c r="D27" s="203"/>
      <c r="E27" s="203"/>
      <c r="F27" s="219"/>
      <c r="G27" s="203"/>
      <c r="H27" s="206"/>
      <c r="I27" s="51" t="s">
        <v>121</v>
      </c>
      <c r="J27" s="48">
        <f>SUM(K27:O27)</f>
        <v>0</v>
      </c>
      <c r="K27" s="32"/>
      <c r="L27" s="33"/>
      <c r="M27" s="33"/>
      <c r="N27" s="33"/>
      <c r="O27" s="34"/>
      <c r="P27" s="41">
        <f t="shared" si="1"/>
        <v>0</v>
      </c>
      <c r="Q27" s="41">
        <f t="shared" si="2"/>
        <v>0</v>
      </c>
      <c r="R27" s="41">
        <f t="shared" si="3"/>
        <v>0</v>
      </c>
      <c r="S27" s="41">
        <f t="shared" si="4"/>
        <v>0</v>
      </c>
      <c r="T27" s="41">
        <f t="shared" si="5"/>
        <v>0</v>
      </c>
      <c r="U27" s="222" t="str">
        <f t="shared" ref="U27" si="6">IF(E27="CAT 1 - Reject",IF(P27&lt;&gt;"",P27*J27+IF(P28&lt;&gt;"",P28*J28+IF(P29&lt;&gt;"",P29*J29+IF(P30&lt;&gt;"",P30*J30,"blank"))))/SUM(J27:J30),IF(E27="CAT 2 - Counterfeit",IF(Q27&lt;&gt;"",Q27*J27+IF(Q28&lt;&gt;"",Q28*J28+IF(Q29&lt;&gt;"",Q29*J29+IF(Q30&lt;&gt;"",Q30*J30,"blank"))))/SUM(J27:J30),IF(E27="CAT 3 - Suspect",IF(R27&lt;&gt;"",R27*J27+IF(R28&lt;&gt;"",R28*J28+IF(R29&lt;&gt;"",R29*J29+IF(R30&lt;&gt;"",R30*J30,"blank"))))/SUM(J27:J30),IF(E27="CAT 4a/4 - Genuine Fit",IF(S27&lt;&gt;"",S27*J27+IF(S28&lt;&gt;"",S28*J28+IF(S29&lt;&gt;"",S29*J29+IF(S30&lt;&gt;"",S30*J30,"blank"))))/SUM(J27:J30),IF(E27="CAT 4b/5 - Genuine Unfit",IF(T27&lt;&gt;"",T27*J27+IF(T28&lt;&gt;"",T28*J28+IF(T29&lt;&gt;"",T29*J29+IF(T30&lt;&gt;"",T30*J30,"blank"))))/SUM(J27:J30),"")))))</f>
        <v/>
      </c>
      <c r="V27" s="123"/>
      <c r="W27" s="209"/>
    </row>
    <row r="28" spans="1:23" ht="15" thickBot="1">
      <c r="A28" s="213"/>
      <c r="B28" s="216"/>
      <c r="C28" s="204"/>
      <c r="D28" s="204"/>
      <c r="E28" s="204"/>
      <c r="F28" s="220"/>
      <c r="G28" s="204"/>
      <c r="H28" s="207"/>
      <c r="I28" s="52" t="s">
        <v>122</v>
      </c>
      <c r="J28" s="49">
        <f t="shared" ref="J28:J54" si="7">SUM(K28:O28)</f>
        <v>0</v>
      </c>
      <c r="K28" s="24"/>
      <c r="L28" s="31"/>
      <c r="M28" s="31"/>
      <c r="N28" s="31"/>
      <c r="O28" s="35"/>
      <c r="P28" s="41">
        <f t="shared" si="1"/>
        <v>0</v>
      </c>
      <c r="Q28" s="41">
        <f t="shared" si="2"/>
        <v>0</v>
      </c>
      <c r="R28" s="41">
        <f t="shared" si="3"/>
        <v>0</v>
      </c>
      <c r="S28" s="41">
        <f t="shared" si="4"/>
        <v>0</v>
      </c>
      <c r="T28" s="41">
        <f t="shared" si="5"/>
        <v>0</v>
      </c>
      <c r="U28" s="223"/>
      <c r="V28" s="124"/>
      <c r="W28" s="210"/>
    </row>
    <row r="29" spans="1:23" ht="15" thickBot="1">
      <c r="A29" s="213"/>
      <c r="B29" s="216"/>
      <c r="C29" s="204"/>
      <c r="D29" s="204"/>
      <c r="E29" s="204"/>
      <c r="F29" s="220"/>
      <c r="G29" s="204"/>
      <c r="H29" s="207"/>
      <c r="I29" s="52" t="s">
        <v>123</v>
      </c>
      <c r="J29" s="49">
        <f t="shared" si="7"/>
        <v>0</v>
      </c>
      <c r="K29" s="24"/>
      <c r="L29" s="31"/>
      <c r="M29" s="31"/>
      <c r="N29" s="31"/>
      <c r="O29" s="35"/>
      <c r="P29" s="41">
        <f t="shared" si="1"/>
        <v>0</v>
      </c>
      <c r="Q29" s="41">
        <f t="shared" si="2"/>
        <v>0</v>
      </c>
      <c r="R29" s="41">
        <f t="shared" si="3"/>
        <v>0</v>
      </c>
      <c r="S29" s="41">
        <f t="shared" si="4"/>
        <v>0</v>
      </c>
      <c r="T29" s="41">
        <f t="shared" si="5"/>
        <v>0</v>
      </c>
      <c r="U29" s="223"/>
      <c r="V29" s="124"/>
      <c r="W29" s="210"/>
    </row>
    <row r="30" spans="1:23" ht="15" thickBot="1">
      <c r="A30" s="214"/>
      <c r="B30" s="217"/>
      <c r="C30" s="205"/>
      <c r="D30" s="205"/>
      <c r="E30" s="205"/>
      <c r="F30" s="221"/>
      <c r="G30" s="205"/>
      <c r="H30" s="208"/>
      <c r="I30" s="53" t="s">
        <v>124</v>
      </c>
      <c r="J30" s="50">
        <f t="shared" si="7"/>
        <v>0</v>
      </c>
      <c r="K30" s="25"/>
      <c r="L30" s="36"/>
      <c r="M30" s="36"/>
      <c r="N30" s="36"/>
      <c r="O30" s="37"/>
      <c r="P30" s="41">
        <f t="shared" si="1"/>
        <v>0</v>
      </c>
      <c r="Q30" s="41">
        <f t="shared" si="2"/>
        <v>0</v>
      </c>
      <c r="R30" s="41">
        <f t="shared" si="3"/>
        <v>0</v>
      </c>
      <c r="S30" s="41">
        <f t="shared" si="4"/>
        <v>0</v>
      </c>
      <c r="T30" s="41">
        <f t="shared" si="5"/>
        <v>0</v>
      </c>
      <c r="U30" s="224"/>
      <c r="V30" s="125"/>
      <c r="W30" s="211"/>
    </row>
    <row r="31" spans="1:23" ht="15" thickBot="1">
      <c r="A31" s="212">
        <v>5</v>
      </c>
      <c r="B31" s="215"/>
      <c r="C31" s="218"/>
      <c r="D31" s="203"/>
      <c r="E31" s="203"/>
      <c r="F31" s="219"/>
      <c r="G31" s="203"/>
      <c r="H31" s="206"/>
      <c r="I31" s="51" t="s">
        <v>121</v>
      </c>
      <c r="J31" s="48">
        <f>SUM(K31:O31)</f>
        <v>0</v>
      </c>
      <c r="K31" s="32"/>
      <c r="L31" s="33"/>
      <c r="M31" s="33"/>
      <c r="N31" s="33"/>
      <c r="O31" s="34"/>
      <c r="P31" s="41">
        <f t="shared" si="1"/>
        <v>0</v>
      </c>
      <c r="Q31" s="41">
        <f t="shared" si="2"/>
        <v>0</v>
      </c>
      <c r="R31" s="41">
        <f t="shared" si="3"/>
        <v>0</v>
      </c>
      <c r="S31" s="41">
        <f t="shared" si="4"/>
        <v>0</v>
      </c>
      <c r="T31" s="41">
        <f t="shared" si="5"/>
        <v>0</v>
      </c>
      <c r="U31" s="222" t="str">
        <f t="shared" ref="U31" si="8">IF(E31="CAT 1 - Reject",IF(P31&lt;&gt;"",P31*J31+IF(P32&lt;&gt;"",P32*J32+IF(P33&lt;&gt;"",P33*J33+IF(P34&lt;&gt;"",P34*J34,"blank"))))/SUM(J31:J34),IF(E31="CAT 2 - Counterfeit",IF(Q31&lt;&gt;"",Q31*J31+IF(Q32&lt;&gt;"",Q32*J32+IF(Q33&lt;&gt;"",Q33*J33+IF(Q34&lt;&gt;"",Q34*J34,"blank"))))/SUM(J31:J34),IF(E31="CAT 3 - Suspect",IF(R31&lt;&gt;"",R31*J31+IF(R32&lt;&gt;"",R32*J32+IF(R33&lt;&gt;"",R33*J33+IF(R34&lt;&gt;"",R34*J34,"blank"))))/SUM(J31:J34),IF(E31="CAT 4a/4 - Genuine Fit",IF(S31&lt;&gt;"",S31*J31+IF(S32&lt;&gt;"",S32*J32+IF(S33&lt;&gt;"",S33*J33+IF(S34&lt;&gt;"",S34*J34,"blank"))))/SUM(J31:J34),IF(E31="CAT 4b/5 - Genuine Unfit",IF(T31&lt;&gt;"",T31*J31+IF(T32&lt;&gt;"",T32*J32+IF(T33&lt;&gt;"",T33*J33+IF(T34&lt;&gt;"",T34*J34,"blank"))))/SUM(J31:J34),"")))))</f>
        <v/>
      </c>
      <c r="V31" s="123"/>
      <c r="W31" s="228"/>
    </row>
    <row r="32" spans="1:23" ht="15" thickBot="1">
      <c r="A32" s="213"/>
      <c r="B32" s="216"/>
      <c r="C32" s="204"/>
      <c r="D32" s="204"/>
      <c r="E32" s="204"/>
      <c r="F32" s="220"/>
      <c r="G32" s="204"/>
      <c r="H32" s="207"/>
      <c r="I32" s="52" t="s">
        <v>122</v>
      </c>
      <c r="J32" s="49">
        <f t="shared" si="7"/>
        <v>0</v>
      </c>
      <c r="K32" s="24"/>
      <c r="L32" s="31"/>
      <c r="M32" s="31"/>
      <c r="N32" s="31"/>
      <c r="O32" s="35"/>
      <c r="P32" s="41">
        <f t="shared" si="1"/>
        <v>0</v>
      </c>
      <c r="Q32" s="41">
        <f t="shared" si="2"/>
        <v>0</v>
      </c>
      <c r="R32" s="41">
        <f t="shared" si="3"/>
        <v>0</v>
      </c>
      <c r="S32" s="41">
        <f t="shared" si="4"/>
        <v>0</v>
      </c>
      <c r="T32" s="41">
        <f t="shared" si="5"/>
        <v>0</v>
      </c>
      <c r="U32" s="223"/>
      <c r="V32" s="124"/>
      <c r="W32" s="228"/>
    </row>
    <row r="33" spans="1:23" ht="15" thickBot="1">
      <c r="A33" s="213"/>
      <c r="B33" s="216"/>
      <c r="C33" s="204"/>
      <c r="D33" s="204"/>
      <c r="E33" s="204"/>
      <c r="F33" s="220"/>
      <c r="G33" s="204"/>
      <c r="H33" s="207"/>
      <c r="I33" s="52" t="s">
        <v>123</v>
      </c>
      <c r="J33" s="49">
        <f t="shared" si="7"/>
        <v>0</v>
      </c>
      <c r="K33" s="24"/>
      <c r="L33" s="31"/>
      <c r="M33" s="31"/>
      <c r="N33" s="31"/>
      <c r="O33" s="35"/>
      <c r="P33" s="41">
        <f t="shared" si="1"/>
        <v>0</v>
      </c>
      <c r="Q33" s="41">
        <f t="shared" si="2"/>
        <v>0</v>
      </c>
      <c r="R33" s="41">
        <f t="shared" si="3"/>
        <v>0</v>
      </c>
      <c r="S33" s="41">
        <f t="shared" si="4"/>
        <v>0</v>
      </c>
      <c r="T33" s="41">
        <f t="shared" si="5"/>
        <v>0</v>
      </c>
      <c r="U33" s="223"/>
      <c r="V33" s="124"/>
      <c r="W33" s="228"/>
    </row>
    <row r="34" spans="1:23" ht="15" thickBot="1">
      <c r="A34" s="214"/>
      <c r="B34" s="217"/>
      <c r="C34" s="205"/>
      <c r="D34" s="205"/>
      <c r="E34" s="205"/>
      <c r="F34" s="221"/>
      <c r="G34" s="205"/>
      <c r="H34" s="208"/>
      <c r="I34" s="53" t="s">
        <v>124</v>
      </c>
      <c r="J34" s="50">
        <f t="shared" si="7"/>
        <v>0</v>
      </c>
      <c r="K34" s="38"/>
      <c r="L34" s="39"/>
      <c r="M34" s="39"/>
      <c r="N34" s="39"/>
      <c r="O34" s="40"/>
      <c r="P34" s="41">
        <f t="shared" si="1"/>
        <v>0</v>
      </c>
      <c r="Q34" s="41">
        <f t="shared" si="2"/>
        <v>0</v>
      </c>
      <c r="R34" s="41">
        <f t="shared" si="3"/>
        <v>0</v>
      </c>
      <c r="S34" s="41">
        <f t="shared" si="4"/>
        <v>0</v>
      </c>
      <c r="T34" s="41">
        <f t="shared" si="5"/>
        <v>0</v>
      </c>
      <c r="U34" s="224"/>
      <c r="V34" s="125"/>
      <c r="W34" s="228"/>
    </row>
    <row r="35" spans="1:23" ht="15" thickBot="1">
      <c r="A35" s="212">
        <v>6</v>
      </c>
      <c r="B35" s="215"/>
      <c r="C35" s="218"/>
      <c r="D35" s="203"/>
      <c r="E35" s="203"/>
      <c r="F35" s="219"/>
      <c r="G35" s="203"/>
      <c r="H35" s="206"/>
      <c r="I35" s="51" t="s">
        <v>121</v>
      </c>
      <c r="J35" s="48">
        <f>SUM(K35:O35)</f>
        <v>0</v>
      </c>
      <c r="K35" s="32"/>
      <c r="L35" s="33"/>
      <c r="M35" s="33"/>
      <c r="N35" s="33"/>
      <c r="O35" s="34"/>
      <c r="P35" s="41">
        <f t="shared" si="1"/>
        <v>0</v>
      </c>
      <c r="Q35" s="41">
        <f t="shared" si="2"/>
        <v>0</v>
      </c>
      <c r="R35" s="41">
        <f t="shared" si="3"/>
        <v>0</v>
      </c>
      <c r="S35" s="41">
        <f t="shared" si="4"/>
        <v>0</v>
      </c>
      <c r="T35" s="41">
        <f t="shared" si="5"/>
        <v>0</v>
      </c>
      <c r="U35" s="222" t="str">
        <f t="shared" ref="U35" si="9">IF(E35="CAT 1 - Reject",IF(P35&lt;&gt;"",P35*J35+IF(P36&lt;&gt;"",P36*J36+IF(P37&lt;&gt;"",P37*J37+IF(P38&lt;&gt;"",P38*J38,"blank"))))/SUM(J35:J38),IF(E35="CAT 2 - Counterfeit",IF(Q35&lt;&gt;"",Q35*J35+IF(Q36&lt;&gt;"",Q36*J36+IF(Q37&lt;&gt;"",Q37*J37+IF(Q38&lt;&gt;"",Q38*J38,"blank"))))/SUM(J35:J38),IF(E35="CAT 3 - Suspect",IF(R35&lt;&gt;"",R35*J35+IF(R36&lt;&gt;"",R36*J36+IF(R37&lt;&gt;"",R37*J37+IF(R38&lt;&gt;"",R38*J38,"blank"))))/SUM(J35:J38),IF(E35="CAT 4a/4 - Genuine Fit",IF(S35&lt;&gt;"",S35*J35+IF(S36&lt;&gt;"",S36*J36+IF(S37&lt;&gt;"",S37*J37+IF(S38&lt;&gt;"",S38*J38,"blank"))))/SUM(J35:J38),IF(E35="CAT 4b/5 - Genuine Unfit",IF(T35&lt;&gt;"",T35*J35+IF(T36&lt;&gt;"",T36*J36+IF(T37&lt;&gt;"",T37*J37+IF(T38&lt;&gt;"",T38*J38,"blank"))))/SUM(J35:J38),"")))))</f>
        <v/>
      </c>
      <c r="V35" s="123"/>
      <c r="W35" s="209"/>
    </row>
    <row r="36" spans="1:23" ht="15" thickBot="1">
      <c r="A36" s="213"/>
      <c r="B36" s="216"/>
      <c r="C36" s="204"/>
      <c r="D36" s="204"/>
      <c r="E36" s="204"/>
      <c r="F36" s="220"/>
      <c r="G36" s="204"/>
      <c r="H36" s="207"/>
      <c r="I36" s="52" t="s">
        <v>122</v>
      </c>
      <c r="J36" s="49">
        <f t="shared" si="7"/>
        <v>0</v>
      </c>
      <c r="K36" s="24"/>
      <c r="L36" s="31"/>
      <c r="M36" s="31"/>
      <c r="N36" s="31"/>
      <c r="O36" s="35"/>
      <c r="P36" s="41">
        <f t="shared" si="1"/>
        <v>0</v>
      </c>
      <c r="Q36" s="41">
        <f t="shared" si="2"/>
        <v>0</v>
      </c>
      <c r="R36" s="41">
        <f t="shared" si="3"/>
        <v>0</v>
      </c>
      <c r="S36" s="41">
        <f t="shared" si="4"/>
        <v>0</v>
      </c>
      <c r="T36" s="41">
        <f t="shared" si="5"/>
        <v>0</v>
      </c>
      <c r="U36" s="223"/>
      <c r="V36" s="124"/>
      <c r="W36" s="210"/>
    </row>
    <row r="37" spans="1:23" ht="15" thickBot="1">
      <c r="A37" s="213"/>
      <c r="B37" s="216"/>
      <c r="C37" s="204"/>
      <c r="D37" s="204"/>
      <c r="E37" s="204"/>
      <c r="F37" s="220"/>
      <c r="G37" s="204"/>
      <c r="H37" s="207"/>
      <c r="I37" s="52" t="s">
        <v>123</v>
      </c>
      <c r="J37" s="49">
        <f t="shared" si="7"/>
        <v>0</v>
      </c>
      <c r="K37" s="24"/>
      <c r="L37" s="31"/>
      <c r="M37" s="31"/>
      <c r="N37" s="31"/>
      <c r="O37" s="35"/>
      <c r="P37" s="41">
        <f t="shared" si="1"/>
        <v>0</v>
      </c>
      <c r="Q37" s="41">
        <f t="shared" si="2"/>
        <v>0</v>
      </c>
      <c r="R37" s="41">
        <f t="shared" si="3"/>
        <v>0</v>
      </c>
      <c r="S37" s="41">
        <f t="shared" si="4"/>
        <v>0</v>
      </c>
      <c r="T37" s="41">
        <f t="shared" si="5"/>
        <v>0</v>
      </c>
      <c r="U37" s="223"/>
      <c r="V37" s="124"/>
      <c r="W37" s="210"/>
    </row>
    <row r="38" spans="1:23" ht="15" thickBot="1">
      <c r="A38" s="214"/>
      <c r="B38" s="217"/>
      <c r="C38" s="205"/>
      <c r="D38" s="205"/>
      <c r="E38" s="205"/>
      <c r="F38" s="221"/>
      <c r="G38" s="205"/>
      <c r="H38" s="208"/>
      <c r="I38" s="53" t="s">
        <v>124</v>
      </c>
      <c r="J38" s="50">
        <f t="shared" si="7"/>
        <v>0</v>
      </c>
      <c r="K38" s="38"/>
      <c r="L38" s="39"/>
      <c r="M38" s="39"/>
      <c r="N38" s="39"/>
      <c r="O38" s="40"/>
      <c r="P38" s="41">
        <f t="shared" si="1"/>
        <v>0</v>
      </c>
      <c r="Q38" s="41">
        <f t="shared" si="2"/>
        <v>0</v>
      </c>
      <c r="R38" s="41">
        <f t="shared" si="3"/>
        <v>0</v>
      </c>
      <c r="S38" s="41">
        <f t="shared" si="4"/>
        <v>0</v>
      </c>
      <c r="T38" s="41">
        <f t="shared" si="5"/>
        <v>0</v>
      </c>
      <c r="U38" s="224"/>
      <c r="V38" s="125"/>
      <c r="W38" s="211"/>
    </row>
    <row r="39" spans="1:23" ht="15" thickBot="1">
      <c r="A39" s="212">
        <v>7</v>
      </c>
      <c r="B39" s="215"/>
      <c r="C39" s="218"/>
      <c r="D39" s="203"/>
      <c r="E39" s="203"/>
      <c r="F39" s="219"/>
      <c r="G39" s="203"/>
      <c r="H39" s="206"/>
      <c r="I39" s="51" t="s">
        <v>121</v>
      </c>
      <c r="J39" s="48">
        <f>SUM(K39:O39)</f>
        <v>0</v>
      </c>
      <c r="K39" s="32"/>
      <c r="L39" s="33"/>
      <c r="M39" s="33"/>
      <c r="N39" s="33"/>
      <c r="O39" s="34"/>
      <c r="P39" s="41">
        <f t="shared" si="1"/>
        <v>0</v>
      </c>
      <c r="Q39" s="41">
        <f t="shared" si="2"/>
        <v>0</v>
      </c>
      <c r="R39" s="41">
        <f t="shared" si="3"/>
        <v>0</v>
      </c>
      <c r="S39" s="41">
        <f t="shared" si="4"/>
        <v>0</v>
      </c>
      <c r="T39" s="41">
        <f t="shared" si="5"/>
        <v>0</v>
      </c>
      <c r="U39" s="222" t="str">
        <f t="shared" ref="U39" si="10">IF(E39="CAT 1 - Reject",IF(P39&lt;&gt;"",P39*J39+IF(P40&lt;&gt;"",P40*J40+IF(P41&lt;&gt;"",P41*J41+IF(P42&lt;&gt;"",P42*J42,"blank"))))/SUM(J39:J42),IF(E39="CAT 2 - Counterfeit",IF(Q39&lt;&gt;"",Q39*J39+IF(Q40&lt;&gt;"",Q40*J40+IF(Q41&lt;&gt;"",Q41*J41+IF(Q42&lt;&gt;"",Q42*J42,"blank"))))/SUM(J39:J42),IF(E39="CAT 3 - Suspect",IF(R39&lt;&gt;"",R39*J39+IF(R40&lt;&gt;"",R40*J40+IF(R41&lt;&gt;"",R41*J41+IF(R42&lt;&gt;"",R42*J42,"blank"))))/SUM(J39:J42),IF(E39="CAT 4a/4 - Genuine Fit",IF(S39&lt;&gt;"",S39*J39+IF(S40&lt;&gt;"",S40*J40+IF(S41&lt;&gt;"",S41*J41+IF(S42&lt;&gt;"",S42*J42,"blank"))))/SUM(J39:J42),IF(E39="CAT 4b/5 - Genuine Unfit",IF(T39&lt;&gt;"",T39*J39+IF(T40&lt;&gt;"",T40*J40+IF(T41&lt;&gt;"",T41*J41+IF(T42&lt;&gt;"",T42*J42,"blank"))))/SUM(J39:J42),"")))))</f>
        <v/>
      </c>
      <c r="V39" s="123"/>
      <c r="W39" s="228"/>
    </row>
    <row r="40" spans="1:23" ht="15" thickBot="1">
      <c r="A40" s="213"/>
      <c r="B40" s="216"/>
      <c r="C40" s="204"/>
      <c r="D40" s="204"/>
      <c r="E40" s="204"/>
      <c r="F40" s="220"/>
      <c r="G40" s="204"/>
      <c r="H40" s="207"/>
      <c r="I40" s="52" t="s">
        <v>122</v>
      </c>
      <c r="J40" s="49">
        <f t="shared" si="7"/>
        <v>0</v>
      </c>
      <c r="K40" s="24"/>
      <c r="L40" s="31"/>
      <c r="M40" s="31"/>
      <c r="N40" s="31"/>
      <c r="O40" s="35"/>
      <c r="P40" s="41">
        <f t="shared" si="1"/>
        <v>0</v>
      </c>
      <c r="Q40" s="41">
        <f t="shared" si="2"/>
        <v>0</v>
      </c>
      <c r="R40" s="41">
        <f t="shared" si="3"/>
        <v>0</v>
      </c>
      <c r="S40" s="41">
        <f t="shared" si="4"/>
        <v>0</v>
      </c>
      <c r="T40" s="41">
        <f t="shared" si="5"/>
        <v>0</v>
      </c>
      <c r="U40" s="223"/>
      <c r="V40" s="124"/>
      <c r="W40" s="229"/>
    </row>
    <row r="41" spans="1:23" ht="15" thickBot="1">
      <c r="A41" s="213"/>
      <c r="B41" s="216"/>
      <c r="C41" s="204"/>
      <c r="D41" s="204"/>
      <c r="E41" s="204"/>
      <c r="F41" s="220"/>
      <c r="G41" s="204"/>
      <c r="H41" s="207"/>
      <c r="I41" s="52" t="s">
        <v>123</v>
      </c>
      <c r="J41" s="49">
        <f t="shared" si="7"/>
        <v>0</v>
      </c>
      <c r="K41" s="24"/>
      <c r="L41" s="31"/>
      <c r="M41" s="31"/>
      <c r="N41" s="31"/>
      <c r="O41" s="35"/>
      <c r="P41" s="41">
        <f t="shared" si="1"/>
        <v>0</v>
      </c>
      <c r="Q41" s="41">
        <f t="shared" si="2"/>
        <v>0</v>
      </c>
      <c r="R41" s="41">
        <f t="shared" si="3"/>
        <v>0</v>
      </c>
      <c r="S41" s="41">
        <f t="shared" si="4"/>
        <v>0</v>
      </c>
      <c r="T41" s="41">
        <f t="shared" si="5"/>
        <v>0</v>
      </c>
      <c r="U41" s="223"/>
      <c r="V41" s="124"/>
      <c r="W41" s="229"/>
    </row>
    <row r="42" spans="1:23" ht="15" thickBot="1">
      <c r="A42" s="214"/>
      <c r="B42" s="217"/>
      <c r="C42" s="205"/>
      <c r="D42" s="205"/>
      <c r="E42" s="205"/>
      <c r="F42" s="221"/>
      <c r="G42" s="205"/>
      <c r="H42" s="208"/>
      <c r="I42" s="53" t="s">
        <v>124</v>
      </c>
      <c r="J42" s="50">
        <f t="shared" si="7"/>
        <v>0</v>
      </c>
      <c r="K42" s="25"/>
      <c r="L42" s="36"/>
      <c r="M42" s="36"/>
      <c r="N42" s="36"/>
      <c r="O42" s="37"/>
      <c r="P42" s="41">
        <f t="shared" si="1"/>
        <v>0</v>
      </c>
      <c r="Q42" s="41">
        <f t="shared" si="2"/>
        <v>0</v>
      </c>
      <c r="R42" s="41">
        <f t="shared" si="3"/>
        <v>0</v>
      </c>
      <c r="S42" s="41">
        <f t="shared" si="4"/>
        <v>0</v>
      </c>
      <c r="T42" s="41">
        <f t="shared" si="5"/>
        <v>0</v>
      </c>
      <c r="U42" s="224"/>
      <c r="V42" s="125"/>
      <c r="W42" s="229"/>
    </row>
    <row r="43" spans="1:23" ht="15" thickBot="1">
      <c r="A43" s="212">
        <v>8</v>
      </c>
      <c r="B43" s="215"/>
      <c r="C43" s="218"/>
      <c r="D43" s="203"/>
      <c r="E43" s="203"/>
      <c r="F43" s="219"/>
      <c r="G43" s="203"/>
      <c r="H43" s="206"/>
      <c r="I43" s="51" t="s">
        <v>121</v>
      </c>
      <c r="J43" s="48">
        <f>SUM(K43:O43)</f>
        <v>0</v>
      </c>
      <c r="K43" s="32"/>
      <c r="L43" s="33"/>
      <c r="M43" s="33"/>
      <c r="N43" s="33"/>
      <c r="O43" s="34"/>
      <c r="P43" s="41">
        <f t="shared" si="1"/>
        <v>0</v>
      </c>
      <c r="Q43" s="41">
        <f t="shared" si="2"/>
        <v>0</v>
      </c>
      <c r="R43" s="41">
        <f t="shared" si="3"/>
        <v>0</v>
      </c>
      <c r="S43" s="41">
        <f t="shared" si="4"/>
        <v>0</v>
      </c>
      <c r="T43" s="41">
        <f t="shared" si="5"/>
        <v>0</v>
      </c>
      <c r="U43" s="222" t="str">
        <f t="shared" ref="U43" si="11">IF(E43="CAT 1 - Reject",IF(P43&lt;&gt;"",P43*J43+IF(P44&lt;&gt;"",P44*J44+IF(P45&lt;&gt;"",P45*J45+IF(P46&lt;&gt;"",P46*J46,"blank"))))/SUM(J43:J46),IF(E43="CAT 2 - Counterfeit",IF(Q43&lt;&gt;"",Q43*J43+IF(Q44&lt;&gt;"",Q44*J44+IF(Q45&lt;&gt;"",Q45*J45+IF(Q46&lt;&gt;"",Q46*J46,"blank"))))/SUM(J43:J46),IF(E43="CAT 3 - Suspect",IF(R43&lt;&gt;"",R43*J43+IF(R44&lt;&gt;"",R44*J44+IF(R45&lt;&gt;"",R45*J45+IF(R46&lt;&gt;"",R46*J46,"blank"))))/SUM(J43:J46),IF(E43="CAT 4a/4 - Genuine Fit",IF(S43&lt;&gt;"",S43*J43+IF(S44&lt;&gt;"",S44*J44+IF(S45&lt;&gt;"",S45*J45+IF(S46&lt;&gt;"",S46*J46,"blank"))))/SUM(J43:J46),IF(E43="CAT 4b/5 - Genuine Unfit",IF(T43&lt;&gt;"",T43*J43+IF(T44&lt;&gt;"",T44*J44+IF(T45&lt;&gt;"",T45*J45+IF(T46&lt;&gt;"",T46*J46,"blank"))))/SUM(J43:J46),"")))))</f>
        <v/>
      </c>
      <c r="V43" s="123"/>
      <c r="W43" s="209"/>
    </row>
    <row r="44" spans="1:23" ht="15" thickBot="1">
      <c r="A44" s="213"/>
      <c r="B44" s="216"/>
      <c r="C44" s="204"/>
      <c r="D44" s="204"/>
      <c r="E44" s="204"/>
      <c r="F44" s="220"/>
      <c r="G44" s="204"/>
      <c r="H44" s="207"/>
      <c r="I44" s="52" t="s">
        <v>122</v>
      </c>
      <c r="J44" s="49">
        <f t="shared" si="7"/>
        <v>0</v>
      </c>
      <c r="K44" s="24"/>
      <c r="L44" s="31"/>
      <c r="M44" s="31"/>
      <c r="N44" s="31"/>
      <c r="O44" s="35"/>
      <c r="P44" s="41">
        <f t="shared" si="1"/>
        <v>0</v>
      </c>
      <c r="Q44" s="41">
        <f t="shared" si="2"/>
        <v>0</v>
      </c>
      <c r="R44" s="41">
        <f t="shared" si="3"/>
        <v>0</v>
      </c>
      <c r="S44" s="41">
        <f t="shared" si="4"/>
        <v>0</v>
      </c>
      <c r="T44" s="41">
        <f t="shared" si="5"/>
        <v>0</v>
      </c>
      <c r="U44" s="223"/>
      <c r="V44" s="124"/>
      <c r="W44" s="210"/>
    </row>
    <row r="45" spans="1:23" ht="15" thickBot="1">
      <c r="A45" s="213"/>
      <c r="B45" s="216"/>
      <c r="C45" s="204"/>
      <c r="D45" s="204"/>
      <c r="E45" s="204"/>
      <c r="F45" s="220"/>
      <c r="G45" s="204"/>
      <c r="H45" s="207"/>
      <c r="I45" s="52" t="s">
        <v>123</v>
      </c>
      <c r="J45" s="49">
        <f t="shared" si="7"/>
        <v>0</v>
      </c>
      <c r="K45" s="24"/>
      <c r="L45" s="31"/>
      <c r="M45" s="31"/>
      <c r="N45" s="31"/>
      <c r="O45" s="35"/>
      <c r="P45" s="41">
        <f t="shared" si="1"/>
        <v>0</v>
      </c>
      <c r="Q45" s="41">
        <f t="shared" si="2"/>
        <v>0</v>
      </c>
      <c r="R45" s="41">
        <f t="shared" si="3"/>
        <v>0</v>
      </c>
      <c r="S45" s="41">
        <f t="shared" si="4"/>
        <v>0</v>
      </c>
      <c r="T45" s="41">
        <f t="shared" si="5"/>
        <v>0</v>
      </c>
      <c r="U45" s="223"/>
      <c r="V45" s="124"/>
      <c r="W45" s="210"/>
    </row>
    <row r="46" spans="1:23" ht="15" thickBot="1">
      <c r="A46" s="214"/>
      <c r="B46" s="217"/>
      <c r="C46" s="205"/>
      <c r="D46" s="205"/>
      <c r="E46" s="205"/>
      <c r="F46" s="221"/>
      <c r="G46" s="205"/>
      <c r="H46" s="208"/>
      <c r="I46" s="53" t="s">
        <v>124</v>
      </c>
      <c r="J46" s="50">
        <f t="shared" si="7"/>
        <v>0</v>
      </c>
      <c r="K46" s="25"/>
      <c r="L46" s="36"/>
      <c r="M46" s="36"/>
      <c r="N46" s="36"/>
      <c r="O46" s="37"/>
      <c r="P46" s="41">
        <f t="shared" si="1"/>
        <v>0</v>
      </c>
      <c r="Q46" s="41">
        <f t="shared" si="2"/>
        <v>0</v>
      </c>
      <c r="R46" s="41">
        <f t="shared" si="3"/>
        <v>0</v>
      </c>
      <c r="S46" s="41">
        <f t="shared" si="4"/>
        <v>0</v>
      </c>
      <c r="T46" s="41">
        <f t="shared" si="5"/>
        <v>0</v>
      </c>
      <c r="U46" s="224"/>
      <c r="V46" s="125"/>
      <c r="W46" s="211"/>
    </row>
    <row r="47" spans="1:23" ht="15" thickBot="1">
      <c r="A47" s="212">
        <v>9</v>
      </c>
      <c r="B47" s="215"/>
      <c r="C47" s="218"/>
      <c r="D47" s="203"/>
      <c r="E47" s="203"/>
      <c r="F47" s="219"/>
      <c r="G47" s="203"/>
      <c r="H47" s="206"/>
      <c r="I47" s="51" t="s">
        <v>121</v>
      </c>
      <c r="J47" s="48">
        <f>SUM(K47:O47)</f>
        <v>0</v>
      </c>
      <c r="K47" s="32"/>
      <c r="L47" s="33"/>
      <c r="M47" s="33"/>
      <c r="N47" s="33"/>
      <c r="O47" s="34"/>
      <c r="P47" s="41">
        <f t="shared" si="1"/>
        <v>0</v>
      </c>
      <c r="Q47" s="41">
        <f t="shared" si="2"/>
        <v>0</v>
      </c>
      <c r="R47" s="41">
        <f t="shared" si="3"/>
        <v>0</v>
      </c>
      <c r="S47" s="41">
        <f t="shared" si="4"/>
        <v>0</v>
      </c>
      <c r="T47" s="41">
        <f t="shared" si="5"/>
        <v>0</v>
      </c>
      <c r="U47" s="222" t="str">
        <f t="shared" ref="U47" si="12">IF(E47="CAT 1 - Reject",IF(P47&lt;&gt;"",P47*J47+IF(P48&lt;&gt;"",P48*J48+IF(P49&lt;&gt;"",P49*J49+IF(P50&lt;&gt;"",P50*J50,"blank"))))/SUM(J47:J50),IF(E47="CAT 2 - Counterfeit",IF(Q47&lt;&gt;"",Q47*J47+IF(Q48&lt;&gt;"",Q48*J48+IF(Q49&lt;&gt;"",Q49*J49+IF(Q50&lt;&gt;"",Q50*J50,"blank"))))/SUM(J47:J50),IF(E47="CAT 3 - Suspect",IF(R47&lt;&gt;"",R47*J47+IF(R48&lt;&gt;"",R48*J48+IF(R49&lt;&gt;"",R49*J49+IF(R50&lt;&gt;"",R50*J50,"blank"))))/SUM(J47:J50),IF(E47="CAT 4a/4 - Genuine Fit",IF(S47&lt;&gt;"",S47*J47+IF(S48&lt;&gt;"",S48*J48+IF(S49&lt;&gt;"",S49*J49+IF(S50&lt;&gt;"",S50*J50,"blank"))))/SUM(J47:J50),IF(E47="CAT 4b/5 - Genuine Unfit",IF(T47&lt;&gt;"",T47*J47+IF(T48&lt;&gt;"",T48*J48+IF(T49&lt;&gt;"",T49*J49+IF(T50&lt;&gt;"",T50*J50,"blank"))))/SUM(J47:J50),"")))))</f>
        <v/>
      </c>
      <c r="V47" s="123"/>
      <c r="W47" s="228"/>
    </row>
    <row r="48" spans="1:23" ht="15" thickBot="1">
      <c r="A48" s="213"/>
      <c r="B48" s="216"/>
      <c r="C48" s="204"/>
      <c r="D48" s="204"/>
      <c r="E48" s="204"/>
      <c r="F48" s="220"/>
      <c r="G48" s="204"/>
      <c r="H48" s="207"/>
      <c r="I48" s="52" t="s">
        <v>122</v>
      </c>
      <c r="J48" s="49">
        <f t="shared" si="7"/>
        <v>0</v>
      </c>
      <c r="K48" s="24"/>
      <c r="L48" s="31"/>
      <c r="M48" s="31"/>
      <c r="N48" s="31"/>
      <c r="O48" s="35"/>
      <c r="P48" s="41">
        <f t="shared" si="1"/>
        <v>0</v>
      </c>
      <c r="Q48" s="41">
        <f t="shared" si="2"/>
        <v>0</v>
      </c>
      <c r="R48" s="41">
        <f t="shared" si="3"/>
        <v>0</v>
      </c>
      <c r="S48" s="41">
        <f t="shared" si="4"/>
        <v>0</v>
      </c>
      <c r="T48" s="41">
        <f t="shared" si="5"/>
        <v>0</v>
      </c>
      <c r="U48" s="223"/>
      <c r="V48" s="124"/>
      <c r="W48" s="229"/>
    </row>
    <row r="49" spans="1:28" ht="15" thickBot="1">
      <c r="A49" s="213"/>
      <c r="B49" s="216"/>
      <c r="C49" s="204"/>
      <c r="D49" s="204"/>
      <c r="E49" s="204"/>
      <c r="F49" s="220"/>
      <c r="G49" s="204"/>
      <c r="H49" s="207"/>
      <c r="I49" s="52" t="s">
        <v>123</v>
      </c>
      <c r="J49" s="49">
        <f t="shared" si="7"/>
        <v>0</v>
      </c>
      <c r="K49" s="24"/>
      <c r="L49" s="31"/>
      <c r="M49" s="31"/>
      <c r="N49" s="31"/>
      <c r="O49" s="35"/>
      <c r="P49" s="41">
        <f t="shared" si="1"/>
        <v>0</v>
      </c>
      <c r="Q49" s="41">
        <f t="shared" si="2"/>
        <v>0</v>
      </c>
      <c r="R49" s="41">
        <f t="shared" si="3"/>
        <v>0</v>
      </c>
      <c r="S49" s="41">
        <f t="shared" si="4"/>
        <v>0</v>
      </c>
      <c r="T49" s="41">
        <f t="shared" si="5"/>
        <v>0</v>
      </c>
      <c r="U49" s="223"/>
      <c r="V49" s="124"/>
      <c r="W49" s="229"/>
    </row>
    <row r="50" spans="1:28" ht="15" thickBot="1">
      <c r="A50" s="214"/>
      <c r="B50" s="217"/>
      <c r="C50" s="205"/>
      <c r="D50" s="205"/>
      <c r="E50" s="205"/>
      <c r="F50" s="221"/>
      <c r="G50" s="205"/>
      <c r="H50" s="208"/>
      <c r="I50" s="53" t="s">
        <v>124</v>
      </c>
      <c r="J50" s="50">
        <f t="shared" si="7"/>
        <v>0</v>
      </c>
      <c r="K50" s="25"/>
      <c r="L50" s="36"/>
      <c r="M50" s="36"/>
      <c r="N50" s="36"/>
      <c r="O50" s="37"/>
      <c r="P50" s="41">
        <f t="shared" si="1"/>
        <v>0</v>
      </c>
      <c r="Q50" s="41">
        <f t="shared" si="2"/>
        <v>0</v>
      </c>
      <c r="R50" s="41">
        <f t="shared" si="3"/>
        <v>0</v>
      </c>
      <c r="S50" s="41">
        <f t="shared" si="4"/>
        <v>0</v>
      </c>
      <c r="T50" s="41">
        <f t="shared" si="5"/>
        <v>0</v>
      </c>
      <c r="U50" s="224"/>
      <c r="V50" s="125"/>
      <c r="W50" s="229"/>
    </row>
    <row r="51" spans="1:28" ht="15" thickBot="1">
      <c r="A51" s="212">
        <v>10</v>
      </c>
      <c r="B51" s="215"/>
      <c r="C51" s="218"/>
      <c r="D51" s="203"/>
      <c r="E51" s="203"/>
      <c r="F51" s="219"/>
      <c r="G51" s="203"/>
      <c r="H51" s="206"/>
      <c r="I51" s="51" t="s">
        <v>121</v>
      </c>
      <c r="J51" s="48">
        <f>SUM(K51:O51)</f>
        <v>0</v>
      </c>
      <c r="K51" s="32"/>
      <c r="L51" s="33"/>
      <c r="M51" s="33"/>
      <c r="N51" s="33"/>
      <c r="O51" s="34"/>
      <c r="P51" s="41">
        <f t="shared" si="1"/>
        <v>0</v>
      </c>
      <c r="Q51" s="41">
        <f t="shared" si="2"/>
        <v>0</v>
      </c>
      <c r="R51" s="41">
        <f t="shared" si="3"/>
        <v>0</v>
      </c>
      <c r="S51" s="41">
        <f t="shared" si="4"/>
        <v>0</v>
      </c>
      <c r="T51" s="41">
        <f t="shared" si="5"/>
        <v>0</v>
      </c>
      <c r="U51" s="222" t="str">
        <f t="shared" ref="U51" si="13">IF(E51="CAT 1 - Reject",IF(P51&lt;&gt;"",P51*J51+IF(P52&lt;&gt;"",P52*J52+IF(P53&lt;&gt;"",P53*J53+IF(P54&lt;&gt;"",P54*J54,"blank"))))/SUM(J51:J54),IF(E51="CAT 2 - Counterfeit",IF(Q51&lt;&gt;"",Q51*J51+IF(Q52&lt;&gt;"",Q52*J52+IF(Q53&lt;&gt;"",Q53*J53+IF(Q54&lt;&gt;"",Q54*J54,"blank"))))/SUM(J51:J54),IF(E51="CAT 3 - Suspect",IF(R51&lt;&gt;"",R51*J51+IF(R52&lt;&gt;"",R52*J52+IF(R53&lt;&gt;"",R53*J53+IF(R54&lt;&gt;"",R54*J54,"blank"))))/SUM(J51:J54),IF(E51="CAT 4a/4 - Genuine Fit",IF(S51&lt;&gt;"",S51*J51+IF(S52&lt;&gt;"",S52*J52+IF(S53&lt;&gt;"",S53*J53+IF(S54&lt;&gt;"",S54*J54,"blank"))))/SUM(J51:J54),IF(E51="CAT 4b/5 - Genuine Unfit",IF(T51&lt;&gt;"",T51*J51+IF(T52&lt;&gt;"",T52*J52+IF(T53&lt;&gt;"",T53*J53+IF(T54&lt;&gt;"",T54*J54,"blank"))))/SUM(J51:J54),"")))))</f>
        <v/>
      </c>
      <c r="V51" s="123"/>
      <c r="W51" s="209"/>
    </row>
    <row r="52" spans="1:28" ht="15" thickBot="1">
      <c r="A52" s="213"/>
      <c r="B52" s="216"/>
      <c r="C52" s="204"/>
      <c r="D52" s="204"/>
      <c r="E52" s="204"/>
      <c r="F52" s="220"/>
      <c r="G52" s="204"/>
      <c r="H52" s="207"/>
      <c r="I52" s="52" t="s">
        <v>122</v>
      </c>
      <c r="J52" s="49">
        <f t="shared" si="7"/>
        <v>0</v>
      </c>
      <c r="K52" s="24"/>
      <c r="L52" s="31"/>
      <c r="M52" s="31"/>
      <c r="N52" s="31"/>
      <c r="O52" s="35"/>
      <c r="P52" s="41">
        <f t="shared" si="1"/>
        <v>0</v>
      </c>
      <c r="Q52" s="41">
        <f t="shared" si="2"/>
        <v>0</v>
      </c>
      <c r="R52" s="41">
        <f t="shared" si="3"/>
        <v>0</v>
      </c>
      <c r="S52" s="41">
        <f t="shared" si="4"/>
        <v>0</v>
      </c>
      <c r="T52" s="41">
        <f t="shared" si="5"/>
        <v>0</v>
      </c>
      <c r="U52" s="223"/>
      <c r="V52" s="124"/>
      <c r="W52" s="210"/>
    </row>
    <row r="53" spans="1:28" ht="15" thickBot="1">
      <c r="A53" s="213"/>
      <c r="B53" s="216"/>
      <c r="C53" s="204"/>
      <c r="D53" s="204"/>
      <c r="E53" s="204"/>
      <c r="F53" s="220"/>
      <c r="G53" s="204"/>
      <c r="H53" s="207"/>
      <c r="I53" s="52" t="s">
        <v>123</v>
      </c>
      <c r="J53" s="49">
        <f t="shared" si="7"/>
        <v>0</v>
      </c>
      <c r="K53" s="24"/>
      <c r="L53" s="31"/>
      <c r="M53" s="31"/>
      <c r="N53" s="31"/>
      <c r="O53" s="35"/>
      <c r="P53" s="41">
        <f t="shared" si="1"/>
        <v>0</v>
      </c>
      <c r="Q53" s="41">
        <f t="shared" si="2"/>
        <v>0</v>
      </c>
      <c r="R53" s="41">
        <f t="shared" si="3"/>
        <v>0</v>
      </c>
      <c r="S53" s="41">
        <f t="shared" si="4"/>
        <v>0</v>
      </c>
      <c r="T53" s="41">
        <f t="shared" si="5"/>
        <v>0</v>
      </c>
      <c r="U53" s="223"/>
      <c r="V53" s="124"/>
      <c r="W53" s="210"/>
    </row>
    <row r="54" spans="1:28" ht="15" thickBot="1">
      <c r="A54" s="214"/>
      <c r="B54" s="217"/>
      <c r="C54" s="205"/>
      <c r="D54" s="205"/>
      <c r="E54" s="205"/>
      <c r="F54" s="221"/>
      <c r="G54" s="205"/>
      <c r="H54" s="208"/>
      <c r="I54" s="53" t="s">
        <v>124</v>
      </c>
      <c r="J54" s="50">
        <f t="shared" si="7"/>
        <v>0</v>
      </c>
      <c r="K54" s="25"/>
      <c r="L54" s="36"/>
      <c r="M54" s="36"/>
      <c r="N54" s="36"/>
      <c r="O54" s="37"/>
      <c r="P54" s="41">
        <f t="shared" si="1"/>
        <v>0</v>
      </c>
      <c r="Q54" s="41">
        <f t="shared" si="2"/>
        <v>0</v>
      </c>
      <c r="R54" s="41">
        <f t="shared" si="3"/>
        <v>0</v>
      </c>
      <c r="S54" s="41">
        <f t="shared" si="4"/>
        <v>0</v>
      </c>
      <c r="T54" s="41">
        <f t="shared" si="5"/>
        <v>0</v>
      </c>
      <c r="U54" s="224"/>
      <c r="V54" s="125"/>
      <c r="W54" s="211"/>
      <c r="X54" s="26"/>
      <c r="Y54" s="26"/>
      <c r="Z54" s="26"/>
      <c r="AA54" s="26"/>
      <c r="AB54" s="26"/>
    </row>
    <row r="55" spans="1:28" ht="15" thickBot="1">
      <c r="A55" s="212">
        <v>11</v>
      </c>
      <c r="B55" s="215"/>
      <c r="C55" s="218"/>
      <c r="D55" s="203"/>
      <c r="E55" s="203"/>
      <c r="F55" s="219"/>
      <c r="G55" s="203"/>
      <c r="H55" s="206"/>
      <c r="I55" s="51" t="s">
        <v>121</v>
      </c>
      <c r="J55" s="48">
        <f>SUM(K55:O55)</f>
        <v>0</v>
      </c>
      <c r="K55" s="32"/>
      <c r="L55" s="33"/>
      <c r="M55" s="33"/>
      <c r="N55" s="33"/>
      <c r="O55" s="34"/>
      <c r="P55" s="41">
        <f t="shared" si="1"/>
        <v>0</v>
      </c>
      <c r="Q55" s="41">
        <f t="shared" si="2"/>
        <v>0</v>
      </c>
      <c r="R55" s="41">
        <f t="shared" si="3"/>
        <v>0</v>
      </c>
      <c r="S55" s="41">
        <f t="shared" si="4"/>
        <v>0</v>
      </c>
      <c r="T55" s="41">
        <f t="shared" si="5"/>
        <v>0</v>
      </c>
      <c r="U55" s="222" t="str">
        <f t="shared" ref="U55" si="14">IF(E55="CAT 1 - Reject",IF(P55&lt;&gt;"",P55*J55+IF(P56&lt;&gt;"",P56*J56+IF(P57&lt;&gt;"",P57*J57+IF(P58&lt;&gt;"",P58*J58,"blank"))))/SUM(J55:J58),IF(E55="CAT 2 - Counterfeit",IF(Q55&lt;&gt;"",Q55*J55+IF(Q56&lt;&gt;"",Q56*J56+IF(Q57&lt;&gt;"",Q57*J57+IF(Q58&lt;&gt;"",Q58*J58,"blank"))))/SUM(J55:J58),IF(E55="CAT 3 - Suspect",IF(R55&lt;&gt;"",R55*J55+IF(R56&lt;&gt;"",R56*J56+IF(R57&lt;&gt;"",R57*J57+IF(R58&lt;&gt;"",R58*J58,"blank"))))/SUM(J55:J58),IF(E55="CAT 4a/4 - Genuine Fit",IF(S55&lt;&gt;"",S55*J55+IF(S56&lt;&gt;"",S56*J56+IF(S57&lt;&gt;"",S57*J57+IF(S58&lt;&gt;"",S58*J58,"blank"))))/SUM(J55:J58),IF(E55="CAT 4b/5 - Genuine Unfit",IF(T55&lt;&gt;"",T55*J55+IF(T56&lt;&gt;"",T56*J56+IF(T57&lt;&gt;"",T57*J57+IF(T58&lt;&gt;"",T58*J58,"blank"))))/SUM(J55:J58),"")))))</f>
        <v/>
      </c>
      <c r="V55" s="123"/>
      <c r="W55" s="209"/>
    </row>
    <row r="56" spans="1:28" ht="15" thickBot="1">
      <c r="A56" s="213"/>
      <c r="B56" s="216"/>
      <c r="C56" s="204"/>
      <c r="D56" s="204"/>
      <c r="E56" s="204"/>
      <c r="F56" s="220"/>
      <c r="G56" s="204"/>
      <c r="H56" s="207"/>
      <c r="I56" s="52" t="s">
        <v>122</v>
      </c>
      <c r="J56" s="49">
        <f t="shared" ref="J56:J58" si="15">SUM(K56:O56)</f>
        <v>0</v>
      </c>
      <c r="K56" s="24"/>
      <c r="L56" s="31"/>
      <c r="M56" s="31"/>
      <c r="N56" s="31"/>
      <c r="O56" s="35"/>
      <c r="P56" s="41">
        <f t="shared" si="1"/>
        <v>0</v>
      </c>
      <c r="Q56" s="41">
        <f t="shared" si="2"/>
        <v>0</v>
      </c>
      <c r="R56" s="41">
        <f t="shared" si="3"/>
        <v>0</v>
      </c>
      <c r="S56" s="41">
        <f t="shared" si="4"/>
        <v>0</v>
      </c>
      <c r="T56" s="41">
        <f t="shared" si="5"/>
        <v>0</v>
      </c>
      <c r="U56" s="223"/>
      <c r="V56" s="124"/>
      <c r="W56" s="210"/>
    </row>
    <row r="57" spans="1:28" ht="15" thickBot="1">
      <c r="A57" s="213"/>
      <c r="B57" s="216"/>
      <c r="C57" s="204"/>
      <c r="D57" s="204"/>
      <c r="E57" s="204"/>
      <c r="F57" s="220"/>
      <c r="G57" s="204"/>
      <c r="H57" s="207"/>
      <c r="I57" s="52" t="s">
        <v>123</v>
      </c>
      <c r="J57" s="49">
        <f t="shared" si="15"/>
        <v>0</v>
      </c>
      <c r="K57" s="24"/>
      <c r="L57" s="31"/>
      <c r="M57" s="31"/>
      <c r="N57" s="31"/>
      <c r="O57" s="35"/>
      <c r="P57" s="41">
        <f t="shared" si="1"/>
        <v>0</v>
      </c>
      <c r="Q57" s="41">
        <f t="shared" si="2"/>
        <v>0</v>
      </c>
      <c r="R57" s="41">
        <f t="shared" si="3"/>
        <v>0</v>
      </c>
      <c r="S57" s="41">
        <f t="shared" si="4"/>
        <v>0</v>
      </c>
      <c r="T57" s="41">
        <f t="shared" si="5"/>
        <v>0</v>
      </c>
      <c r="U57" s="223"/>
      <c r="V57" s="124"/>
      <c r="W57" s="210"/>
    </row>
    <row r="58" spans="1:28" ht="15" thickBot="1">
      <c r="A58" s="214"/>
      <c r="B58" s="217"/>
      <c r="C58" s="205"/>
      <c r="D58" s="205"/>
      <c r="E58" s="205"/>
      <c r="F58" s="221"/>
      <c r="G58" s="205"/>
      <c r="H58" s="208"/>
      <c r="I58" s="53" t="s">
        <v>124</v>
      </c>
      <c r="J58" s="50">
        <f t="shared" si="15"/>
        <v>0</v>
      </c>
      <c r="K58" s="25"/>
      <c r="L58" s="36"/>
      <c r="M58" s="36"/>
      <c r="N58" s="36"/>
      <c r="O58" s="37"/>
      <c r="P58" s="41">
        <f t="shared" si="1"/>
        <v>0</v>
      </c>
      <c r="Q58" s="41">
        <f t="shared" si="2"/>
        <v>0</v>
      </c>
      <c r="R58" s="41">
        <f t="shared" si="3"/>
        <v>0</v>
      </c>
      <c r="S58" s="41">
        <f t="shared" si="4"/>
        <v>0</v>
      </c>
      <c r="T58" s="41">
        <f t="shared" si="5"/>
        <v>0</v>
      </c>
      <c r="U58" s="224"/>
      <c r="V58" s="125"/>
      <c r="W58" s="211"/>
    </row>
    <row r="59" spans="1:28" ht="15" thickBot="1">
      <c r="A59" s="212">
        <v>12</v>
      </c>
      <c r="B59" s="215"/>
      <c r="C59" s="218"/>
      <c r="D59" s="203"/>
      <c r="E59" s="203"/>
      <c r="F59" s="219"/>
      <c r="G59" s="203"/>
      <c r="H59" s="206"/>
      <c r="I59" s="51" t="s">
        <v>121</v>
      </c>
      <c r="J59" s="48">
        <f>SUM(K59:O59)</f>
        <v>0</v>
      </c>
      <c r="K59" s="32"/>
      <c r="L59" s="33"/>
      <c r="M59" s="33"/>
      <c r="N59" s="33"/>
      <c r="O59" s="34"/>
      <c r="P59" s="41">
        <f t="shared" si="1"/>
        <v>0</v>
      </c>
      <c r="Q59" s="41">
        <f t="shared" si="2"/>
        <v>0</v>
      </c>
      <c r="R59" s="41">
        <f t="shared" si="3"/>
        <v>0</v>
      </c>
      <c r="S59" s="41">
        <f t="shared" si="4"/>
        <v>0</v>
      </c>
      <c r="T59" s="41">
        <f t="shared" si="5"/>
        <v>0</v>
      </c>
      <c r="U59" s="222" t="str">
        <f t="shared" ref="U59" si="16">IF(E59="CAT 1 - Reject",IF(P59&lt;&gt;"",P59*J59+IF(P60&lt;&gt;"",P60*J60+IF(P61&lt;&gt;"",P61*J61+IF(P62&lt;&gt;"",P62*J62,"blank"))))/SUM(J59:J62),IF(E59="CAT 2 - Counterfeit",IF(Q59&lt;&gt;"",Q59*J59+IF(Q60&lt;&gt;"",Q60*J60+IF(Q61&lt;&gt;"",Q61*J61+IF(Q62&lt;&gt;"",Q62*J62,"blank"))))/SUM(J59:J62),IF(E59="CAT 3 - Suspect",IF(R59&lt;&gt;"",R59*J59+IF(R60&lt;&gt;"",R60*J60+IF(R61&lt;&gt;"",R61*J61+IF(R62&lt;&gt;"",R62*J62,"blank"))))/SUM(J59:J62),IF(E59="CAT 4a/4 - Genuine Fit",IF(S59&lt;&gt;"",S59*J59+IF(S60&lt;&gt;"",S60*J60+IF(S61&lt;&gt;"",S61*J61+IF(S62&lt;&gt;"",S62*J62,"blank"))))/SUM(J59:J62),IF(E59="CAT 4b/5 - Genuine Unfit",IF(T59&lt;&gt;"",T59*J59+IF(T60&lt;&gt;"",T60*J60+IF(T61&lt;&gt;"",T61*J61+IF(T62&lt;&gt;"",T62*J62,"blank"))))/SUM(J59:J62),"")))))</f>
        <v/>
      </c>
      <c r="V59" s="123"/>
      <c r="W59" s="228"/>
    </row>
    <row r="60" spans="1:28" ht="15" thickBot="1">
      <c r="A60" s="213"/>
      <c r="B60" s="216"/>
      <c r="C60" s="204"/>
      <c r="D60" s="204"/>
      <c r="E60" s="204"/>
      <c r="F60" s="220"/>
      <c r="G60" s="204"/>
      <c r="H60" s="207"/>
      <c r="I60" s="52" t="s">
        <v>122</v>
      </c>
      <c r="J60" s="49">
        <f t="shared" ref="J60:J62" si="17">SUM(K60:O60)</f>
        <v>0</v>
      </c>
      <c r="K60" s="24"/>
      <c r="L60" s="31"/>
      <c r="M60" s="31"/>
      <c r="N60" s="31"/>
      <c r="O60" s="35"/>
      <c r="P60" s="41">
        <f t="shared" si="1"/>
        <v>0</v>
      </c>
      <c r="Q60" s="41">
        <f t="shared" si="2"/>
        <v>0</v>
      </c>
      <c r="R60" s="41">
        <f t="shared" si="3"/>
        <v>0</v>
      </c>
      <c r="S60" s="41">
        <f t="shared" si="4"/>
        <v>0</v>
      </c>
      <c r="T60" s="41">
        <f t="shared" si="5"/>
        <v>0</v>
      </c>
      <c r="U60" s="223"/>
      <c r="V60" s="124"/>
      <c r="W60" s="228"/>
    </row>
    <row r="61" spans="1:28" ht="15" thickBot="1">
      <c r="A61" s="213"/>
      <c r="B61" s="216"/>
      <c r="C61" s="204"/>
      <c r="D61" s="204"/>
      <c r="E61" s="204"/>
      <c r="F61" s="220"/>
      <c r="G61" s="204"/>
      <c r="H61" s="207"/>
      <c r="I61" s="52" t="s">
        <v>123</v>
      </c>
      <c r="J61" s="49">
        <f t="shared" si="17"/>
        <v>0</v>
      </c>
      <c r="K61" s="24"/>
      <c r="L61" s="31"/>
      <c r="M61" s="31"/>
      <c r="N61" s="31"/>
      <c r="O61" s="35"/>
      <c r="P61" s="41">
        <f t="shared" si="1"/>
        <v>0</v>
      </c>
      <c r="Q61" s="41">
        <f t="shared" si="2"/>
        <v>0</v>
      </c>
      <c r="R61" s="41">
        <f t="shared" si="3"/>
        <v>0</v>
      </c>
      <c r="S61" s="41">
        <f t="shared" si="4"/>
        <v>0</v>
      </c>
      <c r="T61" s="41">
        <f t="shared" si="5"/>
        <v>0</v>
      </c>
      <c r="U61" s="223"/>
      <c r="V61" s="124"/>
      <c r="W61" s="228"/>
    </row>
    <row r="62" spans="1:28" ht="15" thickBot="1">
      <c r="A62" s="214"/>
      <c r="B62" s="217"/>
      <c r="C62" s="205"/>
      <c r="D62" s="205"/>
      <c r="E62" s="205"/>
      <c r="F62" s="221"/>
      <c r="G62" s="205"/>
      <c r="H62" s="208"/>
      <c r="I62" s="53" t="s">
        <v>124</v>
      </c>
      <c r="J62" s="50">
        <f t="shared" si="17"/>
        <v>0</v>
      </c>
      <c r="K62" s="38"/>
      <c r="L62" s="39"/>
      <c r="M62" s="39"/>
      <c r="N62" s="39"/>
      <c r="O62" s="40"/>
      <c r="P62" s="41">
        <f t="shared" si="1"/>
        <v>0</v>
      </c>
      <c r="Q62" s="41">
        <f t="shared" si="2"/>
        <v>0</v>
      </c>
      <c r="R62" s="41">
        <f t="shared" si="3"/>
        <v>0</v>
      </c>
      <c r="S62" s="41">
        <f t="shared" si="4"/>
        <v>0</v>
      </c>
      <c r="T62" s="41">
        <f t="shared" si="5"/>
        <v>0</v>
      </c>
      <c r="U62" s="224"/>
      <c r="V62" s="125"/>
      <c r="W62" s="228"/>
    </row>
    <row r="63" spans="1:28" ht="15" thickBot="1">
      <c r="A63" s="212">
        <v>13</v>
      </c>
      <c r="B63" s="215"/>
      <c r="C63" s="218"/>
      <c r="D63" s="203"/>
      <c r="E63" s="203"/>
      <c r="F63" s="219"/>
      <c r="G63" s="203"/>
      <c r="H63" s="206"/>
      <c r="I63" s="51" t="s">
        <v>121</v>
      </c>
      <c r="J63" s="48">
        <f>SUM(K63:O63)</f>
        <v>0</v>
      </c>
      <c r="K63" s="32"/>
      <c r="L63" s="33"/>
      <c r="M63" s="33"/>
      <c r="N63" s="33"/>
      <c r="O63" s="34"/>
      <c r="P63" s="41">
        <f t="shared" si="1"/>
        <v>0</v>
      </c>
      <c r="Q63" s="41">
        <f t="shared" si="2"/>
        <v>0</v>
      </c>
      <c r="R63" s="41">
        <f t="shared" si="3"/>
        <v>0</v>
      </c>
      <c r="S63" s="41">
        <f t="shared" si="4"/>
        <v>0</v>
      </c>
      <c r="T63" s="41">
        <f t="shared" si="5"/>
        <v>0</v>
      </c>
      <c r="U63" s="222" t="str">
        <f t="shared" ref="U63" si="18">IF(E63="CAT 1 - Reject",IF(P63&lt;&gt;"",P63*J63+IF(P64&lt;&gt;"",P64*J64+IF(P65&lt;&gt;"",P65*J65+IF(P66&lt;&gt;"",P66*J66,"blank"))))/SUM(J63:J66),IF(E63="CAT 2 - Counterfeit",IF(Q63&lt;&gt;"",Q63*J63+IF(Q64&lt;&gt;"",Q64*J64+IF(Q65&lt;&gt;"",Q65*J65+IF(Q66&lt;&gt;"",Q66*J66,"blank"))))/SUM(J63:J66),IF(E63="CAT 3 - Suspect",IF(R63&lt;&gt;"",R63*J63+IF(R64&lt;&gt;"",R64*J64+IF(R65&lt;&gt;"",R65*J65+IF(R66&lt;&gt;"",R66*J66,"blank"))))/SUM(J63:J66),IF(E63="CAT 4a/4 - Genuine Fit",IF(S63&lt;&gt;"",S63*J63+IF(S64&lt;&gt;"",S64*J64+IF(S65&lt;&gt;"",S65*J65+IF(S66&lt;&gt;"",S66*J66,"blank"))))/SUM(J63:J66),IF(E63="CAT 4b/5 - Genuine Unfit",IF(T63&lt;&gt;"",T63*J63+IF(T64&lt;&gt;"",T64*J64+IF(T65&lt;&gt;"",T65*J65+IF(T66&lt;&gt;"",T66*J66,"blank"))))/SUM(J63:J66),"")))))</f>
        <v/>
      </c>
      <c r="V63" s="123"/>
      <c r="W63" s="209"/>
    </row>
    <row r="64" spans="1:28" ht="15" thickBot="1">
      <c r="A64" s="213"/>
      <c r="B64" s="216"/>
      <c r="C64" s="204"/>
      <c r="D64" s="204"/>
      <c r="E64" s="204"/>
      <c r="F64" s="220"/>
      <c r="G64" s="204"/>
      <c r="H64" s="207"/>
      <c r="I64" s="52" t="s">
        <v>122</v>
      </c>
      <c r="J64" s="49">
        <f t="shared" ref="J64:J66" si="19">SUM(K64:O64)</f>
        <v>0</v>
      </c>
      <c r="K64" s="24"/>
      <c r="L64" s="31"/>
      <c r="M64" s="31"/>
      <c r="N64" s="31"/>
      <c r="O64" s="35"/>
      <c r="P64" s="41">
        <f t="shared" si="1"/>
        <v>0</v>
      </c>
      <c r="Q64" s="41">
        <f t="shared" si="2"/>
        <v>0</v>
      </c>
      <c r="R64" s="41">
        <f t="shared" si="3"/>
        <v>0</v>
      </c>
      <c r="S64" s="41">
        <f t="shared" si="4"/>
        <v>0</v>
      </c>
      <c r="T64" s="41">
        <f t="shared" si="5"/>
        <v>0</v>
      </c>
      <c r="U64" s="223"/>
      <c r="V64" s="124"/>
      <c r="W64" s="210"/>
    </row>
    <row r="65" spans="1:23" ht="15" thickBot="1">
      <c r="A65" s="213"/>
      <c r="B65" s="216"/>
      <c r="C65" s="204"/>
      <c r="D65" s="204"/>
      <c r="E65" s="204"/>
      <c r="F65" s="220"/>
      <c r="G65" s="204"/>
      <c r="H65" s="207"/>
      <c r="I65" s="52" t="s">
        <v>123</v>
      </c>
      <c r="J65" s="49">
        <f t="shared" si="19"/>
        <v>0</v>
      </c>
      <c r="K65" s="24"/>
      <c r="L65" s="31"/>
      <c r="M65" s="31"/>
      <c r="N65" s="31"/>
      <c r="O65" s="35"/>
      <c r="P65" s="41">
        <f t="shared" si="1"/>
        <v>0</v>
      </c>
      <c r="Q65" s="41">
        <f t="shared" si="2"/>
        <v>0</v>
      </c>
      <c r="R65" s="41">
        <f t="shared" si="3"/>
        <v>0</v>
      </c>
      <c r="S65" s="41">
        <f t="shared" si="4"/>
        <v>0</v>
      </c>
      <c r="T65" s="41">
        <f t="shared" si="5"/>
        <v>0</v>
      </c>
      <c r="U65" s="223"/>
      <c r="V65" s="124"/>
      <c r="W65" s="210"/>
    </row>
    <row r="66" spans="1:23" ht="15" thickBot="1">
      <c r="A66" s="214"/>
      <c r="B66" s="217"/>
      <c r="C66" s="205"/>
      <c r="D66" s="205"/>
      <c r="E66" s="205"/>
      <c r="F66" s="221"/>
      <c r="G66" s="205"/>
      <c r="H66" s="208"/>
      <c r="I66" s="53" t="s">
        <v>124</v>
      </c>
      <c r="J66" s="50">
        <f t="shared" si="19"/>
        <v>0</v>
      </c>
      <c r="K66" s="38"/>
      <c r="L66" s="39"/>
      <c r="M66" s="39"/>
      <c r="N66" s="39"/>
      <c r="O66" s="40"/>
      <c r="P66" s="41">
        <f t="shared" si="1"/>
        <v>0</v>
      </c>
      <c r="Q66" s="41">
        <f t="shared" si="2"/>
        <v>0</v>
      </c>
      <c r="R66" s="41">
        <f t="shared" si="3"/>
        <v>0</v>
      </c>
      <c r="S66" s="41">
        <f t="shared" si="4"/>
        <v>0</v>
      </c>
      <c r="T66" s="41">
        <f t="shared" si="5"/>
        <v>0</v>
      </c>
      <c r="U66" s="224"/>
      <c r="V66" s="125"/>
      <c r="W66" s="211"/>
    </row>
    <row r="67" spans="1:23" ht="15" thickBot="1">
      <c r="A67" s="212">
        <v>14</v>
      </c>
      <c r="B67" s="215"/>
      <c r="C67" s="218"/>
      <c r="D67" s="203"/>
      <c r="E67" s="203"/>
      <c r="F67" s="219"/>
      <c r="G67" s="203"/>
      <c r="H67" s="206"/>
      <c r="I67" s="51" t="s">
        <v>121</v>
      </c>
      <c r="J67" s="48">
        <f>SUM(K67:O67)</f>
        <v>0</v>
      </c>
      <c r="K67" s="32"/>
      <c r="L67" s="33"/>
      <c r="M67" s="33"/>
      <c r="N67" s="33"/>
      <c r="O67" s="34"/>
      <c r="P67" s="41">
        <f t="shared" si="1"/>
        <v>0</v>
      </c>
      <c r="Q67" s="41">
        <f t="shared" si="2"/>
        <v>0</v>
      </c>
      <c r="R67" s="41">
        <f t="shared" si="3"/>
        <v>0</v>
      </c>
      <c r="S67" s="41">
        <f t="shared" si="4"/>
        <v>0</v>
      </c>
      <c r="T67" s="41">
        <f t="shared" si="5"/>
        <v>0</v>
      </c>
      <c r="U67" s="222" t="str">
        <f t="shared" ref="U67" si="20">IF(E67="CAT 1 - Reject",IF(P67&lt;&gt;"",P67*J67+IF(P68&lt;&gt;"",P68*J68+IF(P69&lt;&gt;"",P69*J69+IF(P70&lt;&gt;"",P70*J70,"blank"))))/SUM(J67:J70),IF(E67="CAT 2 - Counterfeit",IF(Q67&lt;&gt;"",Q67*J67+IF(Q68&lt;&gt;"",Q68*J68+IF(Q69&lt;&gt;"",Q69*J69+IF(Q70&lt;&gt;"",Q70*J70,"blank"))))/SUM(J67:J70),IF(E67="CAT 3 - Suspect",IF(R67&lt;&gt;"",R67*J67+IF(R68&lt;&gt;"",R68*J68+IF(R69&lt;&gt;"",R69*J69+IF(R70&lt;&gt;"",R70*J70,"blank"))))/SUM(J67:J70),IF(E67="CAT 4a/4 - Genuine Fit",IF(S67&lt;&gt;"",S67*J67+IF(S68&lt;&gt;"",S68*J68+IF(S69&lt;&gt;"",S69*J69+IF(S70&lt;&gt;"",S70*J70,"blank"))))/SUM(J67:J70),IF(E67="CAT 4b/5 - Genuine Unfit",IF(T67&lt;&gt;"",T67*J67+IF(T68&lt;&gt;"",T68*J68+IF(T69&lt;&gt;"",T69*J69+IF(T70&lt;&gt;"",T70*J70,"blank"))))/SUM(J67:J70),"")))))</f>
        <v/>
      </c>
      <c r="V67" s="123"/>
      <c r="W67" s="228"/>
    </row>
    <row r="68" spans="1:23" ht="15" thickBot="1">
      <c r="A68" s="213"/>
      <c r="B68" s="216"/>
      <c r="C68" s="204"/>
      <c r="D68" s="204"/>
      <c r="E68" s="204"/>
      <c r="F68" s="220"/>
      <c r="G68" s="204"/>
      <c r="H68" s="207"/>
      <c r="I68" s="52" t="s">
        <v>122</v>
      </c>
      <c r="J68" s="49">
        <f t="shared" ref="J68:J70" si="21">SUM(K68:O68)</f>
        <v>0</v>
      </c>
      <c r="K68" s="24"/>
      <c r="L68" s="31"/>
      <c r="M68" s="31"/>
      <c r="N68" s="31"/>
      <c r="O68" s="35"/>
      <c r="P68" s="41">
        <f t="shared" si="1"/>
        <v>0</v>
      </c>
      <c r="Q68" s="41">
        <f t="shared" si="2"/>
        <v>0</v>
      </c>
      <c r="R68" s="41">
        <f t="shared" si="3"/>
        <v>0</v>
      </c>
      <c r="S68" s="41">
        <f t="shared" si="4"/>
        <v>0</v>
      </c>
      <c r="T68" s="41">
        <f t="shared" si="5"/>
        <v>0</v>
      </c>
      <c r="U68" s="223"/>
      <c r="V68" s="124"/>
      <c r="W68" s="229"/>
    </row>
    <row r="69" spans="1:23" ht="15" thickBot="1">
      <c r="A69" s="213"/>
      <c r="B69" s="216"/>
      <c r="C69" s="204"/>
      <c r="D69" s="204"/>
      <c r="E69" s="204"/>
      <c r="F69" s="220"/>
      <c r="G69" s="204"/>
      <c r="H69" s="207"/>
      <c r="I69" s="52" t="s">
        <v>123</v>
      </c>
      <c r="J69" s="49">
        <f t="shared" si="21"/>
        <v>0</v>
      </c>
      <c r="K69" s="24"/>
      <c r="L69" s="31"/>
      <c r="M69" s="31"/>
      <c r="N69" s="31"/>
      <c r="O69" s="35"/>
      <c r="P69" s="41">
        <f t="shared" si="1"/>
        <v>0</v>
      </c>
      <c r="Q69" s="41">
        <f t="shared" si="2"/>
        <v>0</v>
      </c>
      <c r="R69" s="41">
        <f t="shared" si="3"/>
        <v>0</v>
      </c>
      <c r="S69" s="41">
        <f t="shared" si="4"/>
        <v>0</v>
      </c>
      <c r="T69" s="41">
        <f t="shared" si="5"/>
        <v>0</v>
      </c>
      <c r="U69" s="223"/>
      <c r="V69" s="124"/>
      <c r="W69" s="229"/>
    </row>
    <row r="70" spans="1:23" ht="15" thickBot="1">
      <c r="A70" s="214"/>
      <c r="B70" s="217"/>
      <c r="C70" s="205"/>
      <c r="D70" s="205"/>
      <c r="E70" s="205"/>
      <c r="F70" s="221"/>
      <c r="G70" s="205"/>
      <c r="H70" s="208"/>
      <c r="I70" s="53" t="s">
        <v>124</v>
      </c>
      <c r="J70" s="50">
        <f t="shared" si="21"/>
        <v>0</v>
      </c>
      <c r="K70" s="25"/>
      <c r="L70" s="36"/>
      <c r="M70" s="36"/>
      <c r="N70" s="36"/>
      <c r="O70" s="37"/>
      <c r="P70" s="41">
        <f t="shared" si="1"/>
        <v>0</v>
      </c>
      <c r="Q70" s="41">
        <f t="shared" si="2"/>
        <v>0</v>
      </c>
      <c r="R70" s="41">
        <f t="shared" si="3"/>
        <v>0</v>
      </c>
      <c r="S70" s="41">
        <f t="shared" si="4"/>
        <v>0</v>
      </c>
      <c r="T70" s="41">
        <f t="shared" si="5"/>
        <v>0</v>
      </c>
      <c r="U70" s="224"/>
      <c r="V70" s="125"/>
      <c r="W70" s="229"/>
    </row>
    <row r="71" spans="1:23" ht="15" thickBot="1">
      <c r="A71" s="212">
        <v>15</v>
      </c>
      <c r="B71" s="215"/>
      <c r="C71" s="218"/>
      <c r="D71" s="203"/>
      <c r="E71" s="203"/>
      <c r="F71" s="219"/>
      <c r="G71" s="203"/>
      <c r="H71" s="206"/>
      <c r="I71" s="51" t="s">
        <v>121</v>
      </c>
      <c r="J71" s="48">
        <f>SUM(K71:O71)</f>
        <v>0</v>
      </c>
      <c r="K71" s="32"/>
      <c r="L71" s="33"/>
      <c r="M71" s="33"/>
      <c r="N71" s="33"/>
      <c r="O71" s="34"/>
      <c r="P71" s="41">
        <f t="shared" si="1"/>
        <v>0</v>
      </c>
      <c r="Q71" s="41">
        <f t="shared" si="2"/>
        <v>0</v>
      </c>
      <c r="R71" s="41">
        <f t="shared" si="3"/>
        <v>0</v>
      </c>
      <c r="S71" s="41">
        <f t="shared" si="4"/>
        <v>0</v>
      </c>
      <c r="T71" s="41">
        <f t="shared" si="5"/>
        <v>0</v>
      </c>
      <c r="U71" s="222" t="str">
        <f t="shared" ref="U71" si="22">IF(E71="CAT 1 - Reject",IF(P71&lt;&gt;"",P71*J71+IF(P72&lt;&gt;"",P72*J72+IF(P73&lt;&gt;"",P73*J73+IF(P74&lt;&gt;"",P74*J74,"blank"))))/SUM(J71:J74),IF(E71="CAT 2 - Counterfeit",IF(Q71&lt;&gt;"",Q71*J71+IF(Q72&lt;&gt;"",Q72*J72+IF(Q73&lt;&gt;"",Q73*J73+IF(Q74&lt;&gt;"",Q74*J74,"blank"))))/SUM(J71:J74),IF(E71="CAT 3 - Suspect",IF(R71&lt;&gt;"",R71*J71+IF(R72&lt;&gt;"",R72*J72+IF(R73&lt;&gt;"",R73*J73+IF(R74&lt;&gt;"",R74*J74,"blank"))))/SUM(J71:J74),IF(E71="CAT 4a/4 - Genuine Fit",IF(S71&lt;&gt;"",S71*J71+IF(S72&lt;&gt;"",S72*J72+IF(S73&lt;&gt;"",S73*J73+IF(S74&lt;&gt;"",S74*J74,"blank"))))/SUM(J71:J74),IF(E71="CAT 4b/5 - Genuine Unfit",IF(T71&lt;&gt;"",T71*J71+IF(T72&lt;&gt;"",T72*J72+IF(T73&lt;&gt;"",T73*J73+IF(T74&lt;&gt;"",T74*J74,"blank"))))/SUM(J71:J74),"")))))</f>
        <v/>
      </c>
      <c r="V71" s="123"/>
      <c r="W71" s="209"/>
    </row>
    <row r="72" spans="1:23" ht="15" thickBot="1">
      <c r="A72" s="213"/>
      <c r="B72" s="216"/>
      <c r="C72" s="204"/>
      <c r="D72" s="204"/>
      <c r="E72" s="204"/>
      <c r="F72" s="220"/>
      <c r="G72" s="204"/>
      <c r="H72" s="207"/>
      <c r="I72" s="52" t="s">
        <v>122</v>
      </c>
      <c r="J72" s="49">
        <f t="shared" ref="J72:J74" si="23">SUM(K72:O72)</f>
        <v>0</v>
      </c>
      <c r="K72" s="24"/>
      <c r="L72" s="31"/>
      <c r="M72" s="31"/>
      <c r="N72" s="31"/>
      <c r="O72" s="35"/>
      <c r="P72" s="41">
        <f t="shared" si="1"/>
        <v>0</v>
      </c>
      <c r="Q72" s="41">
        <f t="shared" si="2"/>
        <v>0</v>
      </c>
      <c r="R72" s="41">
        <f t="shared" si="3"/>
        <v>0</v>
      </c>
      <c r="S72" s="41">
        <f t="shared" si="4"/>
        <v>0</v>
      </c>
      <c r="T72" s="41">
        <f t="shared" si="5"/>
        <v>0</v>
      </c>
      <c r="U72" s="223"/>
      <c r="V72" s="124"/>
      <c r="W72" s="210"/>
    </row>
    <row r="73" spans="1:23" ht="15" thickBot="1">
      <c r="A73" s="213"/>
      <c r="B73" s="216"/>
      <c r="C73" s="204"/>
      <c r="D73" s="204"/>
      <c r="E73" s="204"/>
      <c r="F73" s="220"/>
      <c r="G73" s="204"/>
      <c r="H73" s="207"/>
      <c r="I73" s="52" t="s">
        <v>123</v>
      </c>
      <c r="J73" s="49">
        <f t="shared" si="23"/>
        <v>0</v>
      </c>
      <c r="K73" s="24"/>
      <c r="L73" s="31"/>
      <c r="M73" s="31"/>
      <c r="N73" s="31"/>
      <c r="O73" s="35"/>
      <c r="P73" s="41">
        <f t="shared" si="1"/>
        <v>0</v>
      </c>
      <c r="Q73" s="41">
        <f t="shared" si="2"/>
        <v>0</v>
      </c>
      <c r="R73" s="41">
        <f t="shared" si="3"/>
        <v>0</v>
      </c>
      <c r="S73" s="41">
        <f t="shared" si="4"/>
        <v>0</v>
      </c>
      <c r="T73" s="41">
        <f t="shared" si="5"/>
        <v>0</v>
      </c>
      <c r="U73" s="223"/>
      <c r="V73" s="124"/>
      <c r="W73" s="210"/>
    </row>
    <row r="74" spans="1:23" ht="15" thickBot="1">
      <c r="A74" s="214"/>
      <c r="B74" s="217"/>
      <c r="C74" s="205"/>
      <c r="D74" s="205"/>
      <c r="E74" s="205"/>
      <c r="F74" s="221"/>
      <c r="G74" s="205"/>
      <c r="H74" s="208"/>
      <c r="I74" s="53" t="s">
        <v>124</v>
      </c>
      <c r="J74" s="50">
        <f t="shared" si="23"/>
        <v>0</v>
      </c>
      <c r="K74" s="25"/>
      <c r="L74" s="36"/>
      <c r="M74" s="36"/>
      <c r="N74" s="36"/>
      <c r="O74" s="37"/>
      <c r="P74" s="41">
        <f t="shared" si="1"/>
        <v>0</v>
      </c>
      <c r="Q74" s="41">
        <f t="shared" si="2"/>
        <v>0</v>
      </c>
      <c r="R74" s="41">
        <f t="shared" si="3"/>
        <v>0</v>
      </c>
      <c r="S74" s="41">
        <f t="shared" si="4"/>
        <v>0</v>
      </c>
      <c r="T74" s="41">
        <f t="shared" si="5"/>
        <v>0</v>
      </c>
      <c r="U74" s="224"/>
      <c r="V74" s="125"/>
      <c r="W74" s="211"/>
    </row>
    <row r="75" spans="1:23" ht="15" thickBot="1">
      <c r="A75" s="212">
        <v>16</v>
      </c>
      <c r="B75" s="215"/>
      <c r="C75" s="218"/>
      <c r="D75" s="203"/>
      <c r="E75" s="203"/>
      <c r="F75" s="219"/>
      <c r="G75" s="203"/>
      <c r="H75" s="206"/>
      <c r="I75" s="51" t="s">
        <v>121</v>
      </c>
      <c r="J75" s="48">
        <f>SUM(K75:O75)</f>
        <v>0</v>
      </c>
      <c r="K75" s="32"/>
      <c r="L75" s="33"/>
      <c r="M75" s="33"/>
      <c r="N75" s="33"/>
      <c r="O75" s="34"/>
      <c r="P75" s="41">
        <f t="shared" si="1"/>
        <v>0</v>
      </c>
      <c r="Q75" s="41">
        <f t="shared" si="2"/>
        <v>0</v>
      </c>
      <c r="R75" s="41">
        <f t="shared" si="3"/>
        <v>0</v>
      </c>
      <c r="S75" s="41">
        <f t="shared" si="4"/>
        <v>0</v>
      </c>
      <c r="T75" s="41">
        <f t="shared" si="5"/>
        <v>0</v>
      </c>
      <c r="U75" s="222" t="str">
        <f t="shared" ref="U75" si="24">IF(E75="CAT 1 - Reject",IF(P75&lt;&gt;"",P75*J75+IF(P76&lt;&gt;"",P76*J76+IF(P77&lt;&gt;"",P77*J77+IF(P78&lt;&gt;"",P78*J78,"blank"))))/SUM(J75:J78),IF(E75="CAT 2 - Counterfeit",IF(Q75&lt;&gt;"",Q75*J75+IF(Q76&lt;&gt;"",Q76*J76+IF(Q77&lt;&gt;"",Q77*J77+IF(Q78&lt;&gt;"",Q78*J78,"blank"))))/SUM(J75:J78),IF(E75="CAT 3 - Suspect",IF(R75&lt;&gt;"",R75*J75+IF(R76&lt;&gt;"",R76*J76+IF(R77&lt;&gt;"",R77*J77+IF(R78&lt;&gt;"",R78*J78,"blank"))))/SUM(J75:J78),IF(E75="CAT 4a/4 - Genuine Fit",IF(S75&lt;&gt;"",S75*J75+IF(S76&lt;&gt;"",S76*J76+IF(S77&lt;&gt;"",S77*J77+IF(S78&lt;&gt;"",S78*J78,"blank"))))/SUM(J75:J78),IF(E75="CAT 4b/5 - Genuine Unfit",IF(T75&lt;&gt;"",T75*J75+IF(T76&lt;&gt;"",T76*J76+IF(T77&lt;&gt;"",T77*J77+IF(T78&lt;&gt;"",T78*J78,"blank"))))/SUM(J75:J78),"")))))</f>
        <v/>
      </c>
      <c r="V75" s="123"/>
      <c r="W75" s="228"/>
    </row>
    <row r="76" spans="1:23" ht="15" thickBot="1">
      <c r="A76" s="213"/>
      <c r="B76" s="216"/>
      <c r="C76" s="204"/>
      <c r="D76" s="204"/>
      <c r="E76" s="204"/>
      <c r="F76" s="220"/>
      <c r="G76" s="204"/>
      <c r="H76" s="207"/>
      <c r="I76" s="52" t="s">
        <v>122</v>
      </c>
      <c r="J76" s="49">
        <f t="shared" ref="J76:J78" si="25">SUM(K76:O76)</f>
        <v>0</v>
      </c>
      <c r="K76" s="24"/>
      <c r="L76" s="31"/>
      <c r="M76" s="31"/>
      <c r="N76" s="31"/>
      <c r="O76" s="35"/>
      <c r="P76" s="41">
        <f t="shared" si="1"/>
        <v>0</v>
      </c>
      <c r="Q76" s="41">
        <f t="shared" si="2"/>
        <v>0</v>
      </c>
      <c r="R76" s="41">
        <f t="shared" si="3"/>
        <v>0</v>
      </c>
      <c r="S76" s="41">
        <f t="shared" si="4"/>
        <v>0</v>
      </c>
      <c r="T76" s="41">
        <f t="shared" si="5"/>
        <v>0</v>
      </c>
      <c r="U76" s="223"/>
      <c r="V76" s="124"/>
      <c r="W76" s="229"/>
    </row>
    <row r="77" spans="1:23" ht="15" thickBot="1">
      <c r="A77" s="213"/>
      <c r="B77" s="216"/>
      <c r="C77" s="204"/>
      <c r="D77" s="204"/>
      <c r="E77" s="204"/>
      <c r="F77" s="220"/>
      <c r="G77" s="204"/>
      <c r="H77" s="207"/>
      <c r="I77" s="52" t="s">
        <v>123</v>
      </c>
      <c r="J77" s="49">
        <f t="shared" si="25"/>
        <v>0</v>
      </c>
      <c r="K77" s="24"/>
      <c r="L77" s="31"/>
      <c r="M77" s="31"/>
      <c r="N77" s="31"/>
      <c r="O77" s="35"/>
      <c r="P77" s="41">
        <f t="shared" si="1"/>
        <v>0</v>
      </c>
      <c r="Q77" s="41">
        <f t="shared" si="2"/>
        <v>0</v>
      </c>
      <c r="R77" s="41">
        <f t="shared" si="3"/>
        <v>0</v>
      </c>
      <c r="S77" s="41">
        <f t="shared" si="4"/>
        <v>0</v>
      </c>
      <c r="T77" s="41">
        <f t="shared" si="5"/>
        <v>0</v>
      </c>
      <c r="U77" s="223"/>
      <c r="V77" s="124"/>
      <c r="W77" s="229"/>
    </row>
    <row r="78" spans="1:23" ht="15" thickBot="1">
      <c r="A78" s="214"/>
      <c r="B78" s="217"/>
      <c r="C78" s="205"/>
      <c r="D78" s="205"/>
      <c r="E78" s="205"/>
      <c r="F78" s="221"/>
      <c r="G78" s="205"/>
      <c r="H78" s="208"/>
      <c r="I78" s="53" t="s">
        <v>124</v>
      </c>
      <c r="J78" s="50">
        <f t="shared" si="25"/>
        <v>0</v>
      </c>
      <c r="K78" s="25"/>
      <c r="L78" s="36"/>
      <c r="M78" s="36"/>
      <c r="N78" s="36"/>
      <c r="O78" s="37"/>
      <c r="P78" s="41">
        <f t="shared" si="1"/>
        <v>0</v>
      </c>
      <c r="Q78" s="41">
        <f t="shared" si="2"/>
        <v>0</v>
      </c>
      <c r="R78" s="41">
        <f t="shared" si="3"/>
        <v>0</v>
      </c>
      <c r="S78" s="41">
        <f t="shared" si="4"/>
        <v>0</v>
      </c>
      <c r="T78" s="41">
        <f t="shared" si="5"/>
        <v>0</v>
      </c>
      <c r="U78" s="224"/>
      <c r="V78" s="125"/>
      <c r="W78" s="229"/>
    </row>
    <row r="79" spans="1:23" ht="15" thickBot="1">
      <c r="A79" s="212">
        <v>17</v>
      </c>
      <c r="B79" s="215"/>
      <c r="C79" s="218"/>
      <c r="D79" s="203"/>
      <c r="E79" s="203"/>
      <c r="F79" s="219"/>
      <c r="G79" s="203"/>
      <c r="H79" s="206"/>
      <c r="I79" s="51" t="s">
        <v>121</v>
      </c>
      <c r="J79" s="48">
        <f>SUM(K79:O79)</f>
        <v>0</v>
      </c>
      <c r="K79" s="32"/>
      <c r="L79" s="33"/>
      <c r="M79" s="33"/>
      <c r="N79" s="33"/>
      <c r="O79" s="34"/>
      <c r="P79" s="41">
        <f t="shared" si="1"/>
        <v>0</v>
      </c>
      <c r="Q79" s="41">
        <f t="shared" si="2"/>
        <v>0</v>
      </c>
      <c r="R79" s="41">
        <f t="shared" si="3"/>
        <v>0</v>
      </c>
      <c r="S79" s="41">
        <f t="shared" si="4"/>
        <v>0</v>
      </c>
      <c r="T79" s="41">
        <f t="shared" si="5"/>
        <v>0</v>
      </c>
      <c r="U79" s="222" t="str">
        <f t="shared" ref="U79" si="26">IF(E79="CAT 1 - Reject",IF(P79&lt;&gt;"",P79*J79+IF(P80&lt;&gt;"",P80*J80+IF(P81&lt;&gt;"",P81*J81+IF(P82&lt;&gt;"",P82*J82,"blank"))))/SUM(J79:J82),IF(E79="CAT 2 - Counterfeit",IF(Q79&lt;&gt;"",Q79*J79+IF(Q80&lt;&gt;"",Q80*J80+IF(Q81&lt;&gt;"",Q81*J81+IF(Q82&lt;&gt;"",Q82*J82,"blank"))))/SUM(J79:J82),IF(E79="CAT 3 - Suspect",IF(R79&lt;&gt;"",R79*J79+IF(R80&lt;&gt;"",R80*J80+IF(R81&lt;&gt;"",R81*J81+IF(R82&lt;&gt;"",R82*J82,"blank"))))/SUM(J79:J82),IF(E79="CAT 4a/4 - Genuine Fit",IF(S79&lt;&gt;"",S79*J79+IF(S80&lt;&gt;"",S80*J80+IF(S81&lt;&gt;"",S81*J81+IF(S82&lt;&gt;"",S82*J82,"blank"))))/SUM(J79:J82),IF(E79="CAT 4b/5 - Genuine Unfit",IF(T79&lt;&gt;"",T79*J79+IF(T80&lt;&gt;"",T80*J80+IF(T81&lt;&gt;"",T81*J81+IF(T82&lt;&gt;"",T82*J82,"blank"))))/SUM(J79:J82),"")))))</f>
        <v/>
      </c>
      <c r="V79" s="123"/>
      <c r="W79" s="209"/>
    </row>
    <row r="80" spans="1:23" ht="15" thickBot="1">
      <c r="A80" s="213"/>
      <c r="B80" s="216"/>
      <c r="C80" s="204"/>
      <c r="D80" s="204"/>
      <c r="E80" s="204"/>
      <c r="F80" s="220"/>
      <c r="G80" s="204"/>
      <c r="H80" s="207"/>
      <c r="I80" s="52" t="s">
        <v>122</v>
      </c>
      <c r="J80" s="49">
        <f t="shared" ref="J80:J82" si="27">SUM(K80:O80)</f>
        <v>0</v>
      </c>
      <c r="K80" s="24"/>
      <c r="L80" s="31"/>
      <c r="M80" s="31"/>
      <c r="N80" s="31"/>
      <c r="O80" s="35"/>
      <c r="P80" s="41">
        <f t="shared" ref="P80:P134" si="28">IFERROR(O80/J80,)</f>
        <v>0</v>
      </c>
      <c r="Q80" s="41">
        <f t="shared" ref="Q80:Q134" si="29">IFERROR(M80/J80,)</f>
        <v>0</v>
      </c>
      <c r="R80" s="41">
        <f t="shared" ref="R80:R134" si="30">IFERROR(N80/J80,)</f>
        <v>0</v>
      </c>
      <c r="S80" s="41">
        <f t="shared" ref="S80:S134" si="31">IFERROR(K80/J80,)</f>
        <v>0</v>
      </c>
      <c r="T80" s="41">
        <f t="shared" ref="T80:T134" si="32">IFERROR(L80/J80,)</f>
        <v>0</v>
      </c>
      <c r="U80" s="223"/>
      <c r="V80" s="124"/>
      <c r="W80" s="210"/>
    </row>
    <row r="81" spans="1:28" ht="15" thickBot="1">
      <c r="A81" s="213"/>
      <c r="B81" s="216"/>
      <c r="C81" s="204"/>
      <c r="D81" s="204"/>
      <c r="E81" s="204"/>
      <c r="F81" s="220"/>
      <c r="G81" s="204"/>
      <c r="H81" s="207"/>
      <c r="I81" s="52" t="s">
        <v>123</v>
      </c>
      <c r="J81" s="49">
        <f t="shared" si="27"/>
        <v>0</v>
      </c>
      <c r="K81" s="24"/>
      <c r="L81" s="31"/>
      <c r="M81" s="31"/>
      <c r="N81" s="31"/>
      <c r="O81" s="35"/>
      <c r="P81" s="41">
        <f t="shared" si="28"/>
        <v>0</v>
      </c>
      <c r="Q81" s="41">
        <f t="shared" si="29"/>
        <v>0</v>
      </c>
      <c r="R81" s="41">
        <f t="shared" si="30"/>
        <v>0</v>
      </c>
      <c r="S81" s="41">
        <f t="shared" si="31"/>
        <v>0</v>
      </c>
      <c r="T81" s="41">
        <f t="shared" si="32"/>
        <v>0</v>
      </c>
      <c r="U81" s="223"/>
      <c r="V81" s="124"/>
      <c r="W81" s="210"/>
    </row>
    <row r="82" spans="1:28" ht="15" thickBot="1">
      <c r="A82" s="214"/>
      <c r="B82" s="217"/>
      <c r="C82" s="205"/>
      <c r="D82" s="205"/>
      <c r="E82" s="205"/>
      <c r="F82" s="221"/>
      <c r="G82" s="205"/>
      <c r="H82" s="208"/>
      <c r="I82" s="53" t="s">
        <v>124</v>
      </c>
      <c r="J82" s="50">
        <f t="shared" si="27"/>
        <v>0</v>
      </c>
      <c r="K82" s="25"/>
      <c r="L82" s="36"/>
      <c r="M82" s="36"/>
      <c r="N82" s="36"/>
      <c r="O82" s="37"/>
      <c r="P82" s="41">
        <f t="shared" si="28"/>
        <v>0</v>
      </c>
      <c r="Q82" s="41">
        <f t="shared" si="29"/>
        <v>0</v>
      </c>
      <c r="R82" s="41">
        <f t="shared" si="30"/>
        <v>0</v>
      </c>
      <c r="S82" s="41">
        <f t="shared" si="31"/>
        <v>0</v>
      </c>
      <c r="T82" s="41">
        <f t="shared" si="32"/>
        <v>0</v>
      </c>
      <c r="U82" s="224"/>
      <c r="V82" s="125"/>
      <c r="W82" s="211"/>
      <c r="X82" s="26"/>
      <c r="Y82" s="26"/>
      <c r="Z82" s="26"/>
      <c r="AA82" s="26"/>
      <c r="AB82" s="26"/>
    </row>
    <row r="83" spans="1:28" ht="15" thickBot="1">
      <c r="A83" s="212">
        <v>18</v>
      </c>
      <c r="B83" s="215"/>
      <c r="C83" s="218"/>
      <c r="D83" s="203"/>
      <c r="E83" s="203"/>
      <c r="F83" s="219"/>
      <c r="G83" s="203"/>
      <c r="H83" s="206"/>
      <c r="I83" s="51" t="s">
        <v>121</v>
      </c>
      <c r="J83" s="48">
        <f>SUM(K83:O83)</f>
        <v>0</v>
      </c>
      <c r="K83" s="32"/>
      <c r="L83" s="33"/>
      <c r="M83" s="33"/>
      <c r="N83" s="33"/>
      <c r="O83" s="34"/>
      <c r="P83" s="41">
        <f t="shared" si="28"/>
        <v>0</v>
      </c>
      <c r="Q83" s="41">
        <f t="shared" si="29"/>
        <v>0</v>
      </c>
      <c r="R83" s="41">
        <f t="shared" si="30"/>
        <v>0</v>
      </c>
      <c r="S83" s="41">
        <f t="shared" si="31"/>
        <v>0</v>
      </c>
      <c r="T83" s="41">
        <f t="shared" si="32"/>
        <v>0</v>
      </c>
      <c r="U83" s="222" t="str">
        <f t="shared" ref="U83" si="33">IF(E83="CAT 1 - Reject",IF(P83&lt;&gt;"",P83*J83+IF(P84&lt;&gt;"",P84*J84+IF(P85&lt;&gt;"",P85*J85+IF(P86&lt;&gt;"",P86*J86,"blank"))))/SUM(J83:J86),IF(E83="CAT 2 - Counterfeit",IF(Q83&lt;&gt;"",Q83*J83+IF(Q84&lt;&gt;"",Q84*J84+IF(Q85&lt;&gt;"",Q85*J85+IF(Q86&lt;&gt;"",Q86*J86,"blank"))))/SUM(J83:J86),IF(E83="CAT 3 - Suspect",IF(R83&lt;&gt;"",R83*J83+IF(R84&lt;&gt;"",R84*J84+IF(R85&lt;&gt;"",R85*J85+IF(R86&lt;&gt;"",R86*J86,"blank"))))/SUM(J83:J86),IF(E83="CAT 4a/4 - Genuine Fit",IF(S83&lt;&gt;"",S83*J83+IF(S84&lt;&gt;"",S84*J84+IF(S85&lt;&gt;"",S85*J85+IF(S86&lt;&gt;"",S86*J86,"blank"))))/SUM(J83:J86),IF(E83="CAT 4b/5 - Genuine Unfit",IF(T83&lt;&gt;"",T83*J83+IF(T84&lt;&gt;"",T84*J84+IF(T85&lt;&gt;"",T85*J85+IF(T86&lt;&gt;"",T86*J86,"blank"))))/SUM(J83:J86),"")))))</f>
        <v/>
      </c>
      <c r="V83" s="123"/>
      <c r="W83" s="209"/>
    </row>
    <row r="84" spans="1:28" ht="15" thickBot="1">
      <c r="A84" s="213"/>
      <c r="B84" s="216"/>
      <c r="C84" s="204"/>
      <c r="D84" s="204"/>
      <c r="E84" s="204"/>
      <c r="F84" s="220"/>
      <c r="G84" s="204"/>
      <c r="H84" s="207"/>
      <c r="I84" s="52" t="s">
        <v>122</v>
      </c>
      <c r="J84" s="49">
        <f t="shared" ref="J84:J86" si="34">SUM(K84:O84)</f>
        <v>0</v>
      </c>
      <c r="K84" s="24"/>
      <c r="L84" s="31"/>
      <c r="M84" s="31"/>
      <c r="N84" s="31"/>
      <c r="O84" s="35"/>
      <c r="P84" s="41">
        <f t="shared" si="28"/>
        <v>0</v>
      </c>
      <c r="Q84" s="41">
        <f t="shared" si="29"/>
        <v>0</v>
      </c>
      <c r="R84" s="41">
        <f t="shared" si="30"/>
        <v>0</v>
      </c>
      <c r="S84" s="41">
        <f t="shared" si="31"/>
        <v>0</v>
      </c>
      <c r="T84" s="41">
        <f t="shared" si="32"/>
        <v>0</v>
      </c>
      <c r="U84" s="223"/>
      <c r="V84" s="124"/>
      <c r="W84" s="210"/>
    </row>
    <row r="85" spans="1:28" ht="15" thickBot="1">
      <c r="A85" s="213"/>
      <c r="B85" s="216"/>
      <c r="C85" s="204"/>
      <c r="D85" s="204"/>
      <c r="E85" s="204"/>
      <c r="F85" s="220"/>
      <c r="G85" s="204"/>
      <c r="H85" s="207"/>
      <c r="I85" s="52" t="s">
        <v>123</v>
      </c>
      <c r="J85" s="49">
        <f t="shared" si="34"/>
        <v>0</v>
      </c>
      <c r="K85" s="24"/>
      <c r="L85" s="31"/>
      <c r="M85" s="31"/>
      <c r="N85" s="31"/>
      <c r="O85" s="35"/>
      <c r="P85" s="41">
        <f t="shared" si="28"/>
        <v>0</v>
      </c>
      <c r="Q85" s="41">
        <f t="shared" si="29"/>
        <v>0</v>
      </c>
      <c r="R85" s="41">
        <f t="shared" si="30"/>
        <v>0</v>
      </c>
      <c r="S85" s="41">
        <f t="shared" si="31"/>
        <v>0</v>
      </c>
      <c r="T85" s="41">
        <f t="shared" si="32"/>
        <v>0</v>
      </c>
      <c r="U85" s="223"/>
      <c r="V85" s="124"/>
      <c r="W85" s="210"/>
    </row>
    <row r="86" spans="1:28" ht="15" thickBot="1">
      <c r="A86" s="214"/>
      <c r="B86" s="217"/>
      <c r="C86" s="205"/>
      <c r="D86" s="205"/>
      <c r="E86" s="205"/>
      <c r="F86" s="221"/>
      <c r="G86" s="205"/>
      <c r="H86" s="208"/>
      <c r="I86" s="53" t="s">
        <v>124</v>
      </c>
      <c r="J86" s="50">
        <f t="shared" si="34"/>
        <v>0</v>
      </c>
      <c r="K86" s="25"/>
      <c r="L86" s="36"/>
      <c r="M86" s="36"/>
      <c r="N86" s="36"/>
      <c r="O86" s="37"/>
      <c r="P86" s="41">
        <f t="shared" si="28"/>
        <v>0</v>
      </c>
      <c r="Q86" s="41">
        <f t="shared" si="29"/>
        <v>0</v>
      </c>
      <c r="R86" s="41">
        <f t="shared" si="30"/>
        <v>0</v>
      </c>
      <c r="S86" s="41">
        <f t="shared" si="31"/>
        <v>0</v>
      </c>
      <c r="T86" s="41">
        <f t="shared" si="32"/>
        <v>0</v>
      </c>
      <c r="U86" s="224"/>
      <c r="V86" s="125"/>
      <c r="W86" s="211"/>
    </row>
    <row r="87" spans="1:28" ht="15" thickBot="1">
      <c r="A87" s="212">
        <v>19</v>
      </c>
      <c r="B87" s="215"/>
      <c r="C87" s="218"/>
      <c r="D87" s="203"/>
      <c r="E87" s="203"/>
      <c r="F87" s="219"/>
      <c r="G87" s="203"/>
      <c r="H87" s="206"/>
      <c r="I87" s="51" t="s">
        <v>121</v>
      </c>
      <c r="J87" s="48">
        <f>SUM(K87:O87)</f>
        <v>0</v>
      </c>
      <c r="K87" s="32"/>
      <c r="L87" s="33"/>
      <c r="M87" s="33"/>
      <c r="N87" s="33"/>
      <c r="O87" s="34"/>
      <c r="P87" s="41">
        <f t="shared" si="28"/>
        <v>0</v>
      </c>
      <c r="Q87" s="41">
        <f t="shared" si="29"/>
        <v>0</v>
      </c>
      <c r="R87" s="41">
        <f t="shared" si="30"/>
        <v>0</v>
      </c>
      <c r="S87" s="41">
        <f t="shared" si="31"/>
        <v>0</v>
      </c>
      <c r="T87" s="41">
        <f t="shared" si="32"/>
        <v>0</v>
      </c>
      <c r="U87" s="222" t="str">
        <f t="shared" ref="U87" si="35">IF(E87="CAT 1 - Reject",IF(P87&lt;&gt;"",P87*J87+IF(P88&lt;&gt;"",P88*J88+IF(P89&lt;&gt;"",P89*J89+IF(P90&lt;&gt;"",P90*J90,"blank"))))/SUM(J87:J90),IF(E87="CAT 2 - Counterfeit",IF(Q87&lt;&gt;"",Q87*J87+IF(Q88&lt;&gt;"",Q88*J88+IF(Q89&lt;&gt;"",Q89*J89+IF(Q90&lt;&gt;"",Q90*J90,"blank"))))/SUM(J87:J90),IF(E87="CAT 3 - Suspect",IF(R87&lt;&gt;"",R87*J87+IF(R88&lt;&gt;"",R88*J88+IF(R89&lt;&gt;"",R89*J89+IF(R90&lt;&gt;"",R90*J90,"blank"))))/SUM(J87:J90),IF(E87="CAT 4a/4 - Genuine Fit",IF(S87&lt;&gt;"",S87*J87+IF(S88&lt;&gt;"",S88*J88+IF(S89&lt;&gt;"",S89*J89+IF(S90&lt;&gt;"",S90*J90,"blank"))))/SUM(J87:J90),IF(E87="CAT 4b/5 - Genuine Unfit",IF(T87&lt;&gt;"",T87*J87+IF(T88&lt;&gt;"",T88*J88+IF(T89&lt;&gt;"",T89*J89+IF(T90&lt;&gt;"",T90*J90,"blank"))))/SUM(J87:J90),"")))))</f>
        <v/>
      </c>
      <c r="V87" s="123"/>
      <c r="W87" s="228"/>
    </row>
    <row r="88" spans="1:28" ht="15" thickBot="1">
      <c r="A88" s="213"/>
      <c r="B88" s="216"/>
      <c r="C88" s="204"/>
      <c r="D88" s="204"/>
      <c r="E88" s="204"/>
      <c r="F88" s="220"/>
      <c r="G88" s="204"/>
      <c r="H88" s="207"/>
      <c r="I88" s="52" t="s">
        <v>122</v>
      </c>
      <c r="J88" s="49">
        <f t="shared" ref="J88:J90" si="36">SUM(K88:O88)</f>
        <v>0</v>
      </c>
      <c r="K88" s="24"/>
      <c r="L88" s="31"/>
      <c r="M88" s="31"/>
      <c r="N88" s="31"/>
      <c r="O88" s="35"/>
      <c r="P88" s="41">
        <f t="shared" si="28"/>
        <v>0</v>
      </c>
      <c r="Q88" s="41">
        <f t="shared" si="29"/>
        <v>0</v>
      </c>
      <c r="R88" s="41">
        <f t="shared" si="30"/>
        <v>0</v>
      </c>
      <c r="S88" s="41">
        <f t="shared" si="31"/>
        <v>0</v>
      </c>
      <c r="T88" s="41">
        <f t="shared" si="32"/>
        <v>0</v>
      </c>
      <c r="U88" s="223"/>
      <c r="V88" s="124"/>
      <c r="W88" s="228"/>
    </row>
    <row r="89" spans="1:28" ht="15" thickBot="1">
      <c r="A89" s="213"/>
      <c r="B89" s="216"/>
      <c r="C89" s="204"/>
      <c r="D89" s="204"/>
      <c r="E89" s="204"/>
      <c r="F89" s="220"/>
      <c r="G89" s="204"/>
      <c r="H89" s="207"/>
      <c r="I89" s="52" t="s">
        <v>123</v>
      </c>
      <c r="J89" s="49">
        <f t="shared" si="36"/>
        <v>0</v>
      </c>
      <c r="K89" s="24"/>
      <c r="L89" s="31"/>
      <c r="M89" s="31"/>
      <c r="N89" s="31"/>
      <c r="O89" s="35"/>
      <c r="P89" s="41">
        <f t="shared" si="28"/>
        <v>0</v>
      </c>
      <c r="Q89" s="41">
        <f t="shared" si="29"/>
        <v>0</v>
      </c>
      <c r="R89" s="41">
        <f t="shared" si="30"/>
        <v>0</v>
      </c>
      <c r="S89" s="41">
        <f t="shared" si="31"/>
        <v>0</v>
      </c>
      <c r="T89" s="41">
        <f t="shared" si="32"/>
        <v>0</v>
      </c>
      <c r="U89" s="223"/>
      <c r="V89" s="124"/>
      <c r="W89" s="228"/>
    </row>
    <row r="90" spans="1:28" ht="15" thickBot="1">
      <c r="A90" s="214"/>
      <c r="B90" s="217"/>
      <c r="C90" s="205"/>
      <c r="D90" s="205"/>
      <c r="E90" s="205"/>
      <c r="F90" s="221"/>
      <c r="G90" s="205"/>
      <c r="H90" s="208"/>
      <c r="I90" s="53" t="s">
        <v>124</v>
      </c>
      <c r="J90" s="50">
        <f t="shared" si="36"/>
        <v>0</v>
      </c>
      <c r="K90" s="38"/>
      <c r="L90" s="39"/>
      <c r="M90" s="39"/>
      <c r="N90" s="39"/>
      <c r="O90" s="40"/>
      <c r="P90" s="41">
        <f t="shared" si="28"/>
        <v>0</v>
      </c>
      <c r="Q90" s="41">
        <f t="shared" si="29"/>
        <v>0</v>
      </c>
      <c r="R90" s="41">
        <f t="shared" si="30"/>
        <v>0</v>
      </c>
      <c r="S90" s="41">
        <f t="shared" si="31"/>
        <v>0</v>
      </c>
      <c r="T90" s="41">
        <f t="shared" si="32"/>
        <v>0</v>
      </c>
      <c r="U90" s="224"/>
      <c r="V90" s="125"/>
      <c r="W90" s="228"/>
    </row>
    <row r="91" spans="1:28" ht="15" thickBot="1">
      <c r="A91" s="212">
        <v>20</v>
      </c>
      <c r="B91" s="215"/>
      <c r="C91" s="218"/>
      <c r="D91" s="203"/>
      <c r="E91" s="203"/>
      <c r="F91" s="219"/>
      <c r="G91" s="203"/>
      <c r="H91" s="206"/>
      <c r="I91" s="51" t="s">
        <v>121</v>
      </c>
      <c r="J91" s="48">
        <f>SUM(K91:O91)</f>
        <v>0</v>
      </c>
      <c r="K91" s="32"/>
      <c r="L91" s="33"/>
      <c r="M91" s="33"/>
      <c r="N91" s="33"/>
      <c r="O91" s="34"/>
      <c r="P91" s="41">
        <f t="shared" si="28"/>
        <v>0</v>
      </c>
      <c r="Q91" s="41">
        <f t="shared" si="29"/>
        <v>0</v>
      </c>
      <c r="R91" s="41">
        <f t="shared" si="30"/>
        <v>0</v>
      </c>
      <c r="S91" s="41">
        <f t="shared" si="31"/>
        <v>0</v>
      </c>
      <c r="T91" s="41">
        <f t="shared" si="32"/>
        <v>0</v>
      </c>
      <c r="U91" s="222" t="str">
        <f t="shared" ref="U91" si="37">IF(E91="CAT 1 - Reject",IF(P91&lt;&gt;"",P91*J91+IF(P92&lt;&gt;"",P92*J92+IF(P93&lt;&gt;"",P93*J93+IF(P94&lt;&gt;"",P94*J94,"blank"))))/SUM(J91:J94),IF(E91="CAT 2 - Counterfeit",IF(Q91&lt;&gt;"",Q91*J91+IF(Q92&lt;&gt;"",Q92*J92+IF(Q93&lt;&gt;"",Q93*J93+IF(Q94&lt;&gt;"",Q94*J94,"blank"))))/SUM(J91:J94),IF(E91="CAT 3 - Suspect",IF(R91&lt;&gt;"",R91*J91+IF(R92&lt;&gt;"",R92*J92+IF(R93&lt;&gt;"",R93*J93+IF(R94&lt;&gt;"",R94*J94,"blank"))))/SUM(J91:J94),IF(E91="CAT 4a/4 - Genuine Fit",IF(S91&lt;&gt;"",S91*J91+IF(S92&lt;&gt;"",S92*J92+IF(S93&lt;&gt;"",S93*J93+IF(S94&lt;&gt;"",S94*J94,"blank"))))/SUM(J91:J94),IF(E91="CAT 4b/5 - Genuine Unfit",IF(T91&lt;&gt;"",T91*J91+IF(T92&lt;&gt;"",T92*J92+IF(T93&lt;&gt;"",T93*J93+IF(T94&lt;&gt;"",T94*J94,"blank"))))/SUM(J91:J94),"")))))</f>
        <v/>
      </c>
      <c r="V91" s="123"/>
      <c r="W91" s="209"/>
    </row>
    <row r="92" spans="1:28" ht="15" thickBot="1">
      <c r="A92" s="213"/>
      <c r="B92" s="216"/>
      <c r="C92" s="204"/>
      <c r="D92" s="204"/>
      <c r="E92" s="204"/>
      <c r="F92" s="220"/>
      <c r="G92" s="204"/>
      <c r="H92" s="207"/>
      <c r="I92" s="52" t="s">
        <v>122</v>
      </c>
      <c r="J92" s="49">
        <f t="shared" ref="J92:J94" si="38">SUM(K92:O92)</f>
        <v>0</v>
      </c>
      <c r="K92" s="24"/>
      <c r="L92" s="31"/>
      <c r="M92" s="31"/>
      <c r="N92" s="31"/>
      <c r="O92" s="35"/>
      <c r="P92" s="41">
        <f t="shared" si="28"/>
        <v>0</v>
      </c>
      <c r="Q92" s="41">
        <f t="shared" si="29"/>
        <v>0</v>
      </c>
      <c r="R92" s="41">
        <f t="shared" si="30"/>
        <v>0</v>
      </c>
      <c r="S92" s="41">
        <f t="shared" si="31"/>
        <v>0</v>
      </c>
      <c r="T92" s="41">
        <f t="shared" si="32"/>
        <v>0</v>
      </c>
      <c r="U92" s="223"/>
      <c r="V92" s="124"/>
      <c r="W92" s="210"/>
    </row>
    <row r="93" spans="1:28" ht="15" thickBot="1">
      <c r="A93" s="213"/>
      <c r="B93" s="216"/>
      <c r="C93" s="204"/>
      <c r="D93" s="204"/>
      <c r="E93" s="204"/>
      <c r="F93" s="220"/>
      <c r="G93" s="204"/>
      <c r="H93" s="207"/>
      <c r="I93" s="52" t="s">
        <v>123</v>
      </c>
      <c r="J93" s="49">
        <f t="shared" si="38"/>
        <v>0</v>
      </c>
      <c r="K93" s="24"/>
      <c r="L93" s="31"/>
      <c r="M93" s="31"/>
      <c r="N93" s="31"/>
      <c r="O93" s="35"/>
      <c r="P93" s="41">
        <f t="shared" si="28"/>
        <v>0</v>
      </c>
      <c r="Q93" s="41">
        <f t="shared" si="29"/>
        <v>0</v>
      </c>
      <c r="R93" s="41">
        <f t="shared" si="30"/>
        <v>0</v>
      </c>
      <c r="S93" s="41">
        <f t="shared" si="31"/>
        <v>0</v>
      </c>
      <c r="T93" s="41">
        <f t="shared" si="32"/>
        <v>0</v>
      </c>
      <c r="U93" s="223"/>
      <c r="V93" s="124"/>
      <c r="W93" s="210"/>
    </row>
    <row r="94" spans="1:28" ht="15" thickBot="1">
      <c r="A94" s="214"/>
      <c r="B94" s="217"/>
      <c r="C94" s="205"/>
      <c r="D94" s="205"/>
      <c r="E94" s="205"/>
      <c r="F94" s="221"/>
      <c r="G94" s="205"/>
      <c r="H94" s="208"/>
      <c r="I94" s="53" t="s">
        <v>124</v>
      </c>
      <c r="J94" s="50">
        <f t="shared" si="38"/>
        <v>0</v>
      </c>
      <c r="K94" s="38"/>
      <c r="L94" s="39"/>
      <c r="M94" s="39"/>
      <c r="N94" s="39"/>
      <c r="O94" s="40"/>
      <c r="P94" s="41">
        <f t="shared" si="28"/>
        <v>0</v>
      </c>
      <c r="Q94" s="41">
        <f t="shared" si="29"/>
        <v>0</v>
      </c>
      <c r="R94" s="41">
        <f t="shared" si="30"/>
        <v>0</v>
      </c>
      <c r="S94" s="41">
        <f t="shared" si="31"/>
        <v>0</v>
      </c>
      <c r="T94" s="41">
        <f t="shared" si="32"/>
        <v>0</v>
      </c>
      <c r="U94" s="224"/>
      <c r="V94" s="125"/>
      <c r="W94" s="211"/>
    </row>
    <row r="95" spans="1:28" ht="15" thickBot="1">
      <c r="A95" s="212">
        <v>21</v>
      </c>
      <c r="B95" s="215"/>
      <c r="C95" s="218"/>
      <c r="D95" s="203"/>
      <c r="E95" s="203"/>
      <c r="F95" s="219"/>
      <c r="G95" s="203"/>
      <c r="H95" s="206"/>
      <c r="I95" s="51" t="s">
        <v>121</v>
      </c>
      <c r="J95" s="48">
        <f>SUM(K95:O95)</f>
        <v>0</v>
      </c>
      <c r="K95" s="32"/>
      <c r="L95" s="33"/>
      <c r="M95" s="33"/>
      <c r="N95" s="33"/>
      <c r="O95" s="34"/>
      <c r="P95" s="41">
        <f t="shared" si="28"/>
        <v>0</v>
      </c>
      <c r="Q95" s="41">
        <f t="shared" si="29"/>
        <v>0</v>
      </c>
      <c r="R95" s="41">
        <f t="shared" si="30"/>
        <v>0</v>
      </c>
      <c r="S95" s="41">
        <f t="shared" si="31"/>
        <v>0</v>
      </c>
      <c r="T95" s="41">
        <f t="shared" si="32"/>
        <v>0</v>
      </c>
      <c r="U95" s="222" t="str">
        <f t="shared" ref="U95" si="39">IF(E95="CAT 1 - Reject",IF(P95&lt;&gt;"",P95*J95+IF(P96&lt;&gt;"",P96*J96+IF(P97&lt;&gt;"",P97*J97+IF(P98&lt;&gt;"",P98*J98,"blank"))))/SUM(J95:J98),IF(E95="CAT 2 - Counterfeit",IF(Q95&lt;&gt;"",Q95*J95+IF(Q96&lt;&gt;"",Q96*J96+IF(Q97&lt;&gt;"",Q97*J97+IF(Q98&lt;&gt;"",Q98*J98,"blank"))))/SUM(J95:J98),IF(E95="CAT 3 - Suspect",IF(R95&lt;&gt;"",R95*J95+IF(R96&lt;&gt;"",R96*J96+IF(R97&lt;&gt;"",R97*J97+IF(R98&lt;&gt;"",R98*J98,"blank"))))/SUM(J95:J98),IF(E95="CAT 4a/4 - Genuine Fit",IF(S95&lt;&gt;"",S95*J95+IF(S96&lt;&gt;"",S96*J96+IF(S97&lt;&gt;"",S97*J97+IF(S98&lt;&gt;"",S98*J98,"blank"))))/SUM(J95:J98),IF(E95="CAT 4b/5 - Genuine Unfit",IF(T95&lt;&gt;"",T95*J95+IF(T96&lt;&gt;"",T96*J96+IF(T97&lt;&gt;"",T97*J97+IF(T98&lt;&gt;"",T98*J98,"blank"))))/SUM(J95:J98),"")))))</f>
        <v/>
      </c>
      <c r="V95" s="123"/>
      <c r="W95" s="228"/>
    </row>
    <row r="96" spans="1:28" ht="15" thickBot="1">
      <c r="A96" s="213"/>
      <c r="B96" s="216"/>
      <c r="C96" s="204"/>
      <c r="D96" s="204"/>
      <c r="E96" s="204"/>
      <c r="F96" s="220"/>
      <c r="G96" s="204"/>
      <c r="H96" s="207"/>
      <c r="I96" s="52" t="s">
        <v>122</v>
      </c>
      <c r="J96" s="49">
        <f t="shared" ref="J96:J98" si="40">SUM(K96:O96)</f>
        <v>0</v>
      </c>
      <c r="K96" s="24"/>
      <c r="L96" s="31"/>
      <c r="M96" s="31"/>
      <c r="N96" s="31"/>
      <c r="O96" s="35"/>
      <c r="P96" s="41">
        <f t="shared" si="28"/>
        <v>0</v>
      </c>
      <c r="Q96" s="41">
        <f t="shared" si="29"/>
        <v>0</v>
      </c>
      <c r="R96" s="41">
        <f t="shared" si="30"/>
        <v>0</v>
      </c>
      <c r="S96" s="41">
        <f t="shared" si="31"/>
        <v>0</v>
      </c>
      <c r="T96" s="41">
        <f t="shared" si="32"/>
        <v>0</v>
      </c>
      <c r="U96" s="223"/>
      <c r="V96" s="124"/>
      <c r="W96" s="229"/>
    </row>
    <row r="97" spans="1:28" ht="15" thickBot="1">
      <c r="A97" s="213"/>
      <c r="B97" s="216"/>
      <c r="C97" s="204"/>
      <c r="D97" s="204"/>
      <c r="E97" s="204"/>
      <c r="F97" s="220"/>
      <c r="G97" s="204"/>
      <c r="H97" s="207"/>
      <c r="I97" s="52" t="s">
        <v>123</v>
      </c>
      <c r="J97" s="49">
        <f t="shared" si="40"/>
        <v>0</v>
      </c>
      <c r="K97" s="24"/>
      <c r="L97" s="31"/>
      <c r="M97" s="31"/>
      <c r="N97" s="31"/>
      <c r="O97" s="35"/>
      <c r="P97" s="41">
        <f t="shared" si="28"/>
        <v>0</v>
      </c>
      <c r="Q97" s="41">
        <f t="shared" si="29"/>
        <v>0</v>
      </c>
      <c r="R97" s="41">
        <f t="shared" si="30"/>
        <v>0</v>
      </c>
      <c r="S97" s="41">
        <f t="shared" si="31"/>
        <v>0</v>
      </c>
      <c r="T97" s="41">
        <f t="shared" si="32"/>
        <v>0</v>
      </c>
      <c r="U97" s="223"/>
      <c r="V97" s="124"/>
      <c r="W97" s="229"/>
    </row>
    <row r="98" spans="1:28" ht="15" thickBot="1">
      <c r="A98" s="214"/>
      <c r="B98" s="217"/>
      <c r="C98" s="205"/>
      <c r="D98" s="205"/>
      <c r="E98" s="205"/>
      <c r="F98" s="221"/>
      <c r="G98" s="205"/>
      <c r="H98" s="208"/>
      <c r="I98" s="53" t="s">
        <v>124</v>
      </c>
      <c r="J98" s="50">
        <f t="shared" si="40"/>
        <v>0</v>
      </c>
      <c r="K98" s="25"/>
      <c r="L98" s="36"/>
      <c r="M98" s="36"/>
      <c r="N98" s="36"/>
      <c r="O98" s="37"/>
      <c r="P98" s="41">
        <f t="shared" si="28"/>
        <v>0</v>
      </c>
      <c r="Q98" s="41">
        <f t="shared" si="29"/>
        <v>0</v>
      </c>
      <c r="R98" s="41">
        <f t="shared" si="30"/>
        <v>0</v>
      </c>
      <c r="S98" s="41">
        <f t="shared" si="31"/>
        <v>0</v>
      </c>
      <c r="T98" s="41">
        <f t="shared" si="32"/>
        <v>0</v>
      </c>
      <c r="U98" s="224"/>
      <c r="V98" s="125"/>
      <c r="W98" s="229"/>
    </row>
    <row r="99" spans="1:28" ht="15" thickBot="1">
      <c r="A99" s="212">
        <v>22</v>
      </c>
      <c r="B99" s="215"/>
      <c r="C99" s="218"/>
      <c r="D99" s="203"/>
      <c r="E99" s="203"/>
      <c r="F99" s="219"/>
      <c r="G99" s="203"/>
      <c r="H99" s="206"/>
      <c r="I99" s="51" t="s">
        <v>121</v>
      </c>
      <c r="J99" s="48">
        <f>SUM(K99:O99)</f>
        <v>0</v>
      </c>
      <c r="K99" s="32"/>
      <c r="L99" s="33"/>
      <c r="M99" s="33"/>
      <c r="N99" s="33"/>
      <c r="O99" s="34"/>
      <c r="P99" s="41">
        <f t="shared" si="28"/>
        <v>0</v>
      </c>
      <c r="Q99" s="41">
        <f t="shared" si="29"/>
        <v>0</v>
      </c>
      <c r="R99" s="41">
        <f t="shared" si="30"/>
        <v>0</v>
      </c>
      <c r="S99" s="41">
        <f t="shared" si="31"/>
        <v>0</v>
      </c>
      <c r="T99" s="41">
        <f t="shared" si="32"/>
        <v>0</v>
      </c>
      <c r="U99" s="222" t="str">
        <f t="shared" ref="U99" si="41">IF(E99="CAT 1 - Reject",IF(P99&lt;&gt;"",P99*J99+IF(P100&lt;&gt;"",P100*J100+IF(P101&lt;&gt;"",P101*J101+IF(P102&lt;&gt;"",P102*J102,"blank"))))/SUM(J99:J102),IF(E99="CAT 2 - Counterfeit",IF(Q99&lt;&gt;"",Q99*J99+IF(Q100&lt;&gt;"",Q100*J100+IF(Q101&lt;&gt;"",Q101*J101+IF(Q102&lt;&gt;"",Q102*J102,"blank"))))/SUM(J99:J102),IF(E99="CAT 3 - Suspect",IF(R99&lt;&gt;"",R99*J99+IF(R100&lt;&gt;"",R100*J100+IF(R101&lt;&gt;"",R101*J101+IF(R102&lt;&gt;"",R102*J102,"blank"))))/SUM(J99:J102),IF(E99="CAT 4a/4 - Genuine Fit",IF(S99&lt;&gt;"",S99*J99+IF(S100&lt;&gt;"",S100*J100+IF(S101&lt;&gt;"",S101*J101+IF(S102&lt;&gt;"",S102*J102,"blank"))))/SUM(J99:J102),IF(E99="CAT 4b/5 - Genuine Unfit",IF(T99&lt;&gt;"",T99*J99+IF(T100&lt;&gt;"",T100*J100+IF(T101&lt;&gt;"",T101*J101+IF(T102&lt;&gt;"",T102*J102,"blank"))))/SUM(J99:J102),"")))))</f>
        <v/>
      </c>
      <c r="V99" s="123"/>
      <c r="W99" s="209"/>
    </row>
    <row r="100" spans="1:28" ht="15" thickBot="1">
      <c r="A100" s="213"/>
      <c r="B100" s="216"/>
      <c r="C100" s="204"/>
      <c r="D100" s="204"/>
      <c r="E100" s="204"/>
      <c r="F100" s="220"/>
      <c r="G100" s="204"/>
      <c r="H100" s="207"/>
      <c r="I100" s="52" t="s">
        <v>122</v>
      </c>
      <c r="J100" s="49">
        <f t="shared" ref="J100:J102" si="42">SUM(K100:O100)</f>
        <v>0</v>
      </c>
      <c r="K100" s="24"/>
      <c r="L100" s="31"/>
      <c r="M100" s="31"/>
      <c r="N100" s="31"/>
      <c r="O100" s="35"/>
      <c r="P100" s="41">
        <f t="shared" si="28"/>
        <v>0</v>
      </c>
      <c r="Q100" s="41">
        <f t="shared" si="29"/>
        <v>0</v>
      </c>
      <c r="R100" s="41">
        <f t="shared" si="30"/>
        <v>0</v>
      </c>
      <c r="S100" s="41">
        <f t="shared" si="31"/>
        <v>0</v>
      </c>
      <c r="T100" s="41">
        <f t="shared" si="32"/>
        <v>0</v>
      </c>
      <c r="U100" s="223"/>
      <c r="V100" s="124"/>
      <c r="W100" s="210"/>
    </row>
    <row r="101" spans="1:28" ht="15" thickBot="1">
      <c r="A101" s="213"/>
      <c r="B101" s="216"/>
      <c r="C101" s="204"/>
      <c r="D101" s="204"/>
      <c r="E101" s="204"/>
      <c r="F101" s="220"/>
      <c r="G101" s="204"/>
      <c r="H101" s="207"/>
      <c r="I101" s="52" t="s">
        <v>123</v>
      </c>
      <c r="J101" s="49">
        <f t="shared" si="42"/>
        <v>0</v>
      </c>
      <c r="K101" s="24"/>
      <c r="L101" s="31"/>
      <c r="M101" s="31"/>
      <c r="N101" s="31"/>
      <c r="O101" s="35"/>
      <c r="P101" s="41">
        <f t="shared" si="28"/>
        <v>0</v>
      </c>
      <c r="Q101" s="41">
        <f t="shared" si="29"/>
        <v>0</v>
      </c>
      <c r="R101" s="41">
        <f t="shared" si="30"/>
        <v>0</v>
      </c>
      <c r="S101" s="41">
        <f t="shared" si="31"/>
        <v>0</v>
      </c>
      <c r="T101" s="41">
        <f t="shared" si="32"/>
        <v>0</v>
      </c>
      <c r="U101" s="223"/>
      <c r="V101" s="124"/>
      <c r="W101" s="210"/>
    </row>
    <row r="102" spans="1:28" ht="15" thickBot="1">
      <c r="A102" s="214"/>
      <c r="B102" s="217"/>
      <c r="C102" s="205"/>
      <c r="D102" s="205"/>
      <c r="E102" s="205"/>
      <c r="F102" s="221"/>
      <c r="G102" s="205"/>
      <c r="H102" s="208"/>
      <c r="I102" s="53" t="s">
        <v>124</v>
      </c>
      <c r="J102" s="50">
        <f t="shared" si="42"/>
        <v>0</v>
      </c>
      <c r="K102" s="25"/>
      <c r="L102" s="36"/>
      <c r="M102" s="36"/>
      <c r="N102" s="36"/>
      <c r="O102" s="37"/>
      <c r="P102" s="41">
        <f t="shared" si="28"/>
        <v>0</v>
      </c>
      <c r="Q102" s="41">
        <f t="shared" si="29"/>
        <v>0</v>
      </c>
      <c r="R102" s="41">
        <f t="shared" si="30"/>
        <v>0</v>
      </c>
      <c r="S102" s="41">
        <f t="shared" si="31"/>
        <v>0</v>
      </c>
      <c r="T102" s="41">
        <f t="shared" si="32"/>
        <v>0</v>
      </c>
      <c r="U102" s="224"/>
      <c r="V102" s="125"/>
      <c r="W102" s="211"/>
    </row>
    <row r="103" spans="1:28" ht="15" thickBot="1">
      <c r="A103" s="212">
        <v>23</v>
      </c>
      <c r="B103" s="215"/>
      <c r="C103" s="218"/>
      <c r="D103" s="203"/>
      <c r="E103" s="203"/>
      <c r="F103" s="219"/>
      <c r="G103" s="203"/>
      <c r="H103" s="206"/>
      <c r="I103" s="51" t="s">
        <v>121</v>
      </c>
      <c r="J103" s="48">
        <f>SUM(K103:O103)</f>
        <v>0</v>
      </c>
      <c r="K103" s="32"/>
      <c r="L103" s="33"/>
      <c r="M103" s="33"/>
      <c r="N103" s="33"/>
      <c r="O103" s="34"/>
      <c r="P103" s="41">
        <f t="shared" si="28"/>
        <v>0</v>
      </c>
      <c r="Q103" s="41">
        <f t="shared" si="29"/>
        <v>0</v>
      </c>
      <c r="R103" s="41">
        <f t="shared" si="30"/>
        <v>0</v>
      </c>
      <c r="S103" s="41">
        <f t="shared" si="31"/>
        <v>0</v>
      </c>
      <c r="T103" s="41">
        <f t="shared" si="32"/>
        <v>0</v>
      </c>
      <c r="U103" s="222" t="str">
        <f t="shared" ref="U103" si="43">IF(E103="CAT 1 - Reject",IF(P103&lt;&gt;"",P103*J103+IF(P104&lt;&gt;"",P104*J104+IF(P105&lt;&gt;"",P105*J105+IF(P106&lt;&gt;"",P106*J106,"blank"))))/SUM(J103:J106),IF(E103="CAT 2 - Counterfeit",IF(Q103&lt;&gt;"",Q103*J103+IF(Q104&lt;&gt;"",Q104*J104+IF(Q105&lt;&gt;"",Q105*J105+IF(Q106&lt;&gt;"",Q106*J106,"blank"))))/SUM(J103:J106),IF(E103="CAT 3 - Suspect",IF(R103&lt;&gt;"",R103*J103+IF(R104&lt;&gt;"",R104*J104+IF(R105&lt;&gt;"",R105*J105+IF(R106&lt;&gt;"",R106*J106,"blank"))))/SUM(J103:J106),IF(E103="CAT 4a/4 - Genuine Fit",IF(S103&lt;&gt;"",S103*J103+IF(S104&lt;&gt;"",S104*J104+IF(S105&lt;&gt;"",S105*J105+IF(S106&lt;&gt;"",S106*J106,"blank"))))/SUM(J103:J106),IF(E103="CAT 4b/5 - Genuine Unfit",IF(T103&lt;&gt;"",T103*J103+IF(T104&lt;&gt;"",T104*J104+IF(T105&lt;&gt;"",T105*J105+IF(T106&lt;&gt;"",T106*J106,"blank"))))/SUM(J103:J106),"")))))</f>
        <v/>
      </c>
      <c r="V103" s="123"/>
      <c r="W103" s="228"/>
    </row>
    <row r="104" spans="1:28" ht="15" thickBot="1">
      <c r="A104" s="213"/>
      <c r="B104" s="216"/>
      <c r="C104" s="204"/>
      <c r="D104" s="204"/>
      <c r="E104" s="204"/>
      <c r="F104" s="220"/>
      <c r="G104" s="204"/>
      <c r="H104" s="207"/>
      <c r="I104" s="52" t="s">
        <v>122</v>
      </c>
      <c r="J104" s="49">
        <f t="shared" ref="J104:J106" si="44">SUM(K104:O104)</f>
        <v>0</v>
      </c>
      <c r="K104" s="24"/>
      <c r="L104" s="31"/>
      <c r="M104" s="31"/>
      <c r="N104" s="31"/>
      <c r="O104" s="35"/>
      <c r="P104" s="41">
        <f t="shared" si="28"/>
        <v>0</v>
      </c>
      <c r="Q104" s="41">
        <f t="shared" si="29"/>
        <v>0</v>
      </c>
      <c r="R104" s="41">
        <f t="shared" si="30"/>
        <v>0</v>
      </c>
      <c r="S104" s="41">
        <f t="shared" si="31"/>
        <v>0</v>
      </c>
      <c r="T104" s="41">
        <f t="shared" si="32"/>
        <v>0</v>
      </c>
      <c r="U104" s="223"/>
      <c r="V104" s="124"/>
      <c r="W104" s="229"/>
    </row>
    <row r="105" spans="1:28" ht="15" thickBot="1">
      <c r="A105" s="213"/>
      <c r="B105" s="216"/>
      <c r="C105" s="204"/>
      <c r="D105" s="204"/>
      <c r="E105" s="204"/>
      <c r="F105" s="220"/>
      <c r="G105" s="204"/>
      <c r="H105" s="207"/>
      <c r="I105" s="52" t="s">
        <v>123</v>
      </c>
      <c r="J105" s="49">
        <f t="shared" si="44"/>
        <v>0</v>
      </c>
      <c r="K105" s="24"/>
      <c r="L105" s="31"/>
      <c r="M105" s="31"/>
      <c r="N105" s="31"/>
      <c r="O105" s="35"/>
      <c r="P105" s="41">
        <f t="shared" si="28"/>
        <v>0</v>
      </c>
      <c r="Q105" s="41">
        <f t="shared" si="29"/>
        <v>0</v>
      </c>
      <c r="R105" s="41">
        <f t="shared" si="30"/>
        <v>0</v>
      </c>
      <c r="S105" s="41">
        <f t="shared" si="31"/>
        <v>0</v>
      </c>
      <c r="T105" s="41">
        <f t="shared" si="32"/>
        <v>0</v>
      </c>
      <c r="U105" s="223"/>
      <c r="V105" s="124"/>
      <c r="W105" s="229"/>
    </row>
    <row r="106" spans="1:28" ht="15" thickBot="1">
      <c r="A106" s="214"/>
      <c r="B106" s="217"/>
      <c r="C106" s="205"/>
      <c r="D106" s="205"/>
      <c r="E106" s="205"/>
      <c r="F106" s="221"/>
      <c r="G106" s="205"/>
      <c r="H106" s="208"/>
      <c r="I106" s="53" t="s">
        <v>124</v>
      </c>
      <c r="J106" s="50">
        <f t="shared" si="44"/>
        <v>0</v>
      </c>
      <c r="K106" s="25"/>
      <c r="L106" s="36"/>
      <c r="M106" s="36"/>
      <c r="N106" s="36"/>
      <c r="O106" s="37"/>
      <c r="P106" s="41">
        <f t="shared" si="28"/>
        <v>0</v>
      </c>
      <c r="Q106" s="41">
        <f t="shared" si="29"/>
        <v>0</v>
      </c>
      <c r="R106" s="41">
        <f t="shared" si="30"/>
        <v>0</v>
      </c>
      <c r="S106" s="41">
        <f t="shared" si="31"/>
        <v>0</v>
      </c>
      <c r="T106" s="41">
        <f t="shared" si="32"/>
        <v>0</v>
      </c>
      <c r="U106" s="224"/>
      <c r="V106" s="125"/>
      <c r="W106" s="229"/>
    </row>
    <row r="107" spans="1:28" ht="15" thickBot="1">
      <c r="A107" s="212">
        <v>24</v>
      </c>
      <c r="B107" s="215"/>
      <c r="C107" s="218"/>
      <c r="D107" s="203"/>
      <c r="E107" s="203"/>
      <c r="F107" s="219"/>
      <c r="G107" s="203"/>
      <c r="H107" s="206"/>
      <c r="I107" s="51" t="s">
        <v>121</v>
      </c>
      <c r="J107" s="48">
        <f>SUM(K107:O107)</f>
        <v>0</v>
      </c>
      <c r="K107" s="32"/>
      <c r="L107" s="33"/>
      <c r="M107" s="33"/>
      <c r="N107" s="33"/>
      <c r="O107" s="34"/>
      <c r="P107" s="41">
        <f t="shared" si="28"/>
        <v>0</v>
      </c>
      <c r="Q107" s="41">
        <f t="shared" si="29"/>
        <v>0</v>
      </c>
      <c r="R107" s="41">
        <f t="shared" si="30"/>
        <v>0</v>
      </c>
      <c r="S107" s="41">
        <f t="shared" si="31"/>
        <v>0</v>
      </c>
      <c r="T107" s="41">
        <f t="shared" si="32"/>
        <v>0</v>
      </c>
      <c r="U107" s="222" t="str">
        <f t="shared" ref="U107" si="45">IF(E107="CAT 1 - Reject",IF(P107&lt;&gt;"",P107*J107+IF(P108&lt;&gt;"",P108*J108+IF(P109&lt;&gt;"",P109*J109+IF(P110&lt;&gt;"",P110*J110,"blank"))))/SUM(J107:J110),IF(E107="CAT 2 - Counterfeit",IF(Q107&lt;&gt;"",Q107*J107+IF(Q108&lt;&gt;"",Q108*J108+IF(Q109&lt;&gt;"",Q109*J109+IF(Q110&lt;&gt;"",Q110*J110,"blank"))))/SUM(J107:J110),IF(E107="CAT 3 - Suspect",IF(R107&lt;&gt;"",R107*J107+IF(R108&lt;&gt;"",R108*J108+IF(R109&lt;&gt;"",R109*J109+IF(R110&lt;&gt;"",R110*J110,"blank"))))/SUM(J107:J110),IF(E107="CAT 4a/4 - Genuine Fit",IF(S107&lt;&gt;"",S107*J107+IF(S108&lt;&gt;"",S108*J108+IF(S109&lt;&gt;"",S109*J109+IF(S110&lt;&gt;"",S110*J110,"blank"))))/SUM(J107:J110),IF(E107="CAT 4b/5 - Genuine Unfit",IF(T107&lt;&gt;"",T107*J107+IF(T108&lt;&gt;"",T108*J108+IF(T109&lt;&gt;"",T109*J109+IF(T110&lt;&gt;"",T110*J110,"blank"))))/SUM(J107:J110),"")))))</f>
        <v/>
      </c>
      <c r="V107" s="123"/>
      <c r="W107" s="209"/>
    </row>
    <row r="108" spans="1:28" ht="15" thickBot="1">
      <c r="A108" s="213"/>
      <c r="B108" s="216"/>
      <c r="C108" s="204"/>
      <c r="D108" s="204"/>
      <c r="E108" s="204"/>
      <c r="F108" s="220"/>
      <c r="G108" s="204"/>
      <c r="H108" s="207"/>
      <c r="I108" s="52" t="s">
        <v>122</v>
      </c>
      <c r="J108" s="49">
        <f t="shared" ref="J108:J110" si="46">SUM(K108:O108)</f>
        <v>0</v>
      </c>
      <c r="K108" s="24"/>
      <c r="L108" s="31"/>
      <c r="M108" s="31"/>
      <c r="N108" s="31"/>
      <c r="O108" s="35"/>
      <c r="P108" s="41">
        <f t="shared" si="28"/>
        <v>0</v>
      </c>
      <c r="Q108" s="41">
        <f t="shared" si="29"/>
        <v>0</v>
      </c>
      <c r="R108" s="41">
        <f t="shared" si="30"/>
        <v>0</v>
      </c>
      <c r="S108" s="41">
        <f t="shared" si="31"/>
        <v>0</v>
      </c>
      <c r="T108" s="41">
        <f t="shared" si="32"/>
        <v>0</v>
      </c>
      <c r="U108" s="223"/>
      <c r="V108" s="124"/>
      <c r="W108" s="210"/>
    </row>
    <row r="109" spans="1:28" ht="15" thickBot="1">
      <c r="A109" s="213"/>
      <c r="B109" s="216"/>
      <c r="C109" s="204"/>
      <c r="D109" s="204"/>
      <c r="E109" s="204"/>
      <c r="F109" s="220"/>
      <c r="G109" s="204"/>
      <c r="H109" s="207"/>
      <c r="I109" s="52" t="s">
        <v>123</v>
      </c>
      <c r="J109" s="49">
        <f t="shared" si="46"/>
        <v>0</v>
      </c>
      <c r="K109" s="24"/>
      <c r="L109" s="31"/>
      <c r="M109" s="31"/>
      <c r="N109" s="31"/>
      <c r="O109" s="35"/>
      <c r="P109" s="41">
        <f t="shared" si="28"/>
        <v>0</v>
      </c>
      <c r="Q109" s="41">
        <f t="shared" si="29"/>
        <v>0</v>
      </c>
      <c r="R109" s="41">
        <f t="shared" si="30"/>
        <v>0</v>
      </c>
      <c r="S109" s="41">
        <f t="shared" si="31"/>
        <v>0</v>
      </c>
      <c r="T109" s="41">
        <f t="shared" si="32"/>
        <v>0</v>
      </c>
      <c r="U109" s="223"/>
      <c r="V109" s="124"/>
      <c r="W109" s="210"/>
    </row>
    <row r="110" spans="1:28" ht="15" thickBot="1">
      <c r="A110" s="214"/>
      <c r="B110" s="217"/>
      <c r="C110" s="205"/>
      <c r="D110" s="205"/>
      <c r="E110" s="205"/>
      <c r="F110" s="221"/>
      <c r="G110" s="205"/>
      <c r="H110" s="208"/>
      <c r="I110" s="53" t="s">
        <v>124</v>
      </c>
      <c r="J110" s="50">
        <f t="shared" si="46"/>
        <v>0</v>
      </c>
      <c r="K110" s="25"/>
      <c r="L110" s="36"/>
      <c r="M110" s="36"/>
      <c r="N110" s="36"/>
      <c r="O110" s="37"/>
      <c r="P110" s="41">
        <f t="shared" si="28"/>
        <v>0</v>
      </c>
      <c r="Q110" s="41">
        <f t="shared" si="29"/>
        <v>0</v>
      </c>
      <c r="R110" s="41">
        <f t="shared" si="30"/>
        <v>0</v>
      </c>
      <c r="S110" s="41">
        <f t="shared" si="31"/>
        <v>0</v>
      </c>
      <c r="T110" s="41">
        <f t="shared" si="32"/>
        <v>0</v>
      </c>
      <c r="U110" s="224"/>
      <c r="V110" s="125"/>
      <c r="W110" s="211"/>
      <c r="X110" s="26"/>
      <c r="Y110" s="26"/>
      <c r="Z110" s="26"/>
      <c r="AA110" s="26"/>
      <c r="AB110" s="26"/>
    </row>
    <row r="111" spans="1:28" ht="15" thickBot="1">
      <c r="A111" s="212">
        <v>25</v>
      </c>
      <c r="B111" s="215"/>
      <c r="C111" s="218"/>
      <c r="D111" s="203"/>
      <c r="E111" s="203"/>
      <c r="F111" s="219"/>
      <c r="G111" s="203"/>
      <c r="H111" s="206"/>
      <c r="I111" s="51" t="s">
        <v>121</v>
      </c>
      <c r="J111" s="48">
        <f>SUM(K111:O111)</f>
        <v>0</v>
      </c>
      <c r="K111" s="32"/>
      <c r="L111" s="33"/>
      <c r="M111" s="33"/>
      <c r="N111" s="33"/>
      <c r="O111" s="34"/>
      <c r="P111" s="41">
        <f t="shared" si="28"/>
        <v>0</v>
      </c>
      <c r="Q111" s="41">
        <f t="shared" si="29"/>
        <v>0</v>
      </c>
      <c r="R111" s="41">
        <f t="shared" si="30"/>
        <v>0</v>
      </c>
      <c r="S111" s="41">
        <f t="shared" si="31"/>
        <v>0</v>
      </c>
      <c r="T111" s="41">
        <f t="shared" si="32"/>
        <v>0</v>
      </c>
      <c r="U111" s="222" t="str">
        <f t="shared" ref="U111" si="47">IF(E111="CAT 1 - Reject",IF(P111&lt;&gt;"",P111*J111+IF(P112&lt;&gt;"",P112*J112+IF(P113&lt;&gt;"",P113*J113+IF(P114&lt;&gt;"",P114*J114,"blank"))))/SUM(J111:J114),IF(E111="CAT 2 - Counterfeit",IF(Q111&lt;&gt;"",Q111*J111+IF(Q112&lt;&gt;"",Q112*J112+IF(Q113&lt;&gt;"",Q113*J113+IF(Q114&lt;&gt;"",Q114*J114,"blank"))))/SUM(J111:J114),IF(E111="CAT 3 - Suspect",IF(R111&lt;&gt;"",R111*J111+IF(R112&lt;&gt;"",R112*J112+IF(R113&lt;&gt;"",R113*J113+IF(R114&lt;&gt;"",R114*J114,"blank"))))/SUM(J111:J114),IF(E111="CAT 4a/4 - Genuine Fit",IF(S111&lt;&gt;"",S111*J111+IF(S112&lt;&gt;"",S112*J112+IF(S113&lt;&gt;"",S113*J113+IF(S114&lt;&gt;"",S114*J114,"blank"))))/SUM(J111:J114),IF(E111="CAT 4b/5 - Genuine Unfit",IF(T111&lt;&gt;"",T111*J111+IF(T112&lt;&gt;"",T112*J112+IF(T113&lt;&gt;"",T113*J113+IF(T114&lt;&gt;"",T114*J114,"blank"))))/SUM(J111:J114),"")))))</f>
        <v/>
      </c>
      <c r="V111" s="123"/>
      <c r="W111" s="209"/>
    </row>
    <row r="112" spans="1:28" ht="15" thickBot="1">
      <c r="A112" s="213"/>
      <c r="B112" s="216"/>
      <c r="C112" s="204"/>
      <c r="D112" s="204"/>
      <c r="E112" s="204"/>
      <c r="F112" s="220"/>
      <c r="G112" s="204"/>
      <c r="H112" s="207"/>
      <c r="I112" s="52" t="s">
        <v>122</v>
      </c>
      <c r="J112" s="49">
        <f t="shared" ref="J112:J114" si="48">SUM(K112:O112)</f>
        <v>0</v>
      </c>
      <c r="K112" s="24"/>
      <c r="L112" s="31"/>
      <c r="M112" s="31"/>
      <c r="N112" s="31"/>
      <c r="O112" s="35"/>
      <c r="P112" s="41">
        <f t="shared" si="28"/>
        <v>0</v>
      </c>
      <c r="Q112" s="41">
        <f t="shared" si="29"/>
        <v>0</v>
      </c>
      <c r="R112" s="41">
        <f t="shared" si="30"/>
        <v>0</v>
      </c>
      <c r="S112" s="41">
        <f t="shared" si="31"/>
        <v>0</v>
      </c>
      <c r="T112" s="41">
        <f t="shared" si="32"/>
        <v>0</v>
      </c>
      <c r="U112" s="223"/>
      <c r="V112" s="124"/>
      <c r="W112" s="210"/>
    </row>
    <row r="113" spans="1:23" ht="15" thickBot="1">
      <c r="A113" s="213"/>
      <c r="B113" s="216"/>
      <c r="C113" s="204"/>
      <c r="D113" s="204"/>
      <c r="E113" s="204"/>
      <c r="F113" s="220"/>
      <c r="G113" s="204"/>
      <c r="H113" s="207"/>
      <c r="I113" s="52" t="s">
        <v>123</v>
      </c>
      <c r="J113" s="49">
        <f t="shared" si="48"/>
        <v>0</v>
      </c>
      <c r="K113" s="24"/>
      <c r="L113" s="31"/>
      <c r="M113" s="31"/>
      <c r="N113" s="31"/>
      <c r="O113" s="35"/>
      <c r="P113" s="41">
        <f t="shared" si="28"/>
        <v>0</v>
      </c>
      <c r="Q113" s="41">
        <f t="shared" si="29"/>
        <v>0</v>
      </c>
      <c r="R113" s="41">
        <f t="shared" si="30"/>
        <v>0</v>
      </c>
      <c r="S113" s="41">
        <f t="shared" si="31"/>
        <v>0</v>
      </c>
      <c r="T113" s="41">
        <f t="shared" si="32"/>
        <v>0</v>
      </c>
      <c r="U113" s="223"/>
      <c r="V113" s="124"/>
      <c r="W113" s="210"/>
    </row>
    <row r="114" spans="1:23" ht="15" thickBot="1">
      <c r="A114" s="214"/>
      <c r="B114" s="217"/>
      <c r="C114" s="205"/>
      <c r="D114" s="205"/>
      <c r="E114" s="205"/>
      <c r="F114" s="221"/>
      <c r="G114" s="205"/>
      <c r="H114" s="208"/>
      <c r="I114" s="53" t="s">
        <v>124</v>
      </c>
      <c r="J114" s="50">
        <f t="shared" si="48"/>
        <v>0</v>
      </c>
      <c r="K114" s="25"/>
      <c r="L114" s="36"/>
      <c r="M114" s="36"/>
      <c r="N114" s="36"/>
      <c r="O114" s="37"/>
      <c r="P114" s="41">
        <f t="shared" si="28"/>
        <v>0</v>
      </c>
      <c r="Q114" s="41">
        <f t="shared" si="29"/>
        <v>0</v>
      </c>
      <c r="R114" s="41">
        <f t="shared" si="30"/>
        <v>0</v>
      </c>
      <c r="S114" s="41">
        <f t="shared" si="31"/>
        <v>0</v>
      </c>
      <c r="T114" s="41">
        <f t="shared" si="32"/>
        <v>0</v>
      </c>
      <c r="U114" s="224"/>
      <c r="V114" s="125"/>
      <c r="W114" s="211"/>
    </row>
    <row r="115" spans="1:23" ht="15" thickBot="1">
      <c r="A115" s="212">
        <v>26</v>
      </c>
      <c r="B115" s="215"/>
      <c r="C115" s="218"/>
      <c r="D115" s="203"/>
      <c r="E115" s="203"/>
      <c r="F115" s="219"/>
      <c r="G115" s="203"/>
      <c r="H115" s="206"/>
      <c r="I115" s="51" t="s">
        <v>121</v>
      </c>
      <c r="J115" s="48">
        <f>SUM(K115:O115)</f>
        <v>0</v>
      </c>
      <c r="K115" s="32"/>
      <c r="L115" s="33"/>
      <c r="M115" s="33"/>
      <c r="N115" s="33"/>
      <c r="O115" s="34"/>
      <c r="P115" s="41">
        <f t="shared" si="28"/>
        <v>0</v>
      </c>
      <c r="Q115" s="41">
        <f t="shared" si="29"/>
        <v>0</v>
      </c>
      <c r="R115" s="41">
        <f t="shared" si="30"/>
        <v>0</v>
      </c>
      <c r="S115" s="41">
        <f t="shared" si="31"/>
        <v>0</v>
      </c>
      <c r="T115" s="41">
        <f t="shared" si="32"/>
        <v>0</v>
      </c>
      <c r="U115" s="222" t="str">
        <f t="shared" ref="U115" si="49">IF(E115="CAT 1 - Reject",IF(P115&lt;&gt;"",P115*J115+IF(P116&lt;&gt;"",P116*J116+IF(P117&lt;&gt;"",P117*J117+IF(P118&lt;&gt;"",P118*J118,"blank"))))/SUM(J115:J118),IF(E115="CAT 2 - Counterfeit",IF(Q115&lt;&gt;"",Q115*J115+IF(Q116&lt;&gt;"",Q116*J116+IF(Q117&lt;&gt;"",Q117*J117+IF(Q118&lt;&gt;"",Q118*J118,"blank"))))/SUM(J115:J118),IF(E115="CAT 3 - Suspect",IF(R115&lt;&gt;"",R115*J115+IF(R116&lt;&gt;"",R116*J116+IF(R117&lt;&gt;"",R117*J117+IF(R118&lt;&gt;"",R118*J118,"blank"))))/SUM(J115:J118),IF(E115="CAT 4a/4 - Genuine Fit",IF(S115&lt;&gt;"",S115*J115+IF(S116&lt;&gt;"",S116*J116+IF(S117&lt;&gt;"",S117*J117+IF(S118&lt;&gt;"",S118*J118,"blank"))))/SUM(J115:J118),IF(E115="CAT 4b/5 - Genuine Unfit",IF(T115&lt;&gt;"",T115*J115+IF(T116&lt;&gt;"",T116*J116+IF(T117&lt;&gt;"",T117*J117+IF(T118&lt;&gt;"",T118*J118,"blank"))))/SUM(J115:J118),"")))))</f>
        <v/>
      </c>
      <c r="V115" s="123"/>
      <c r="W115" s="228"/>
    </row>
    <row r="116" spans="1:23" ht="15" thickBot="1">
      <c r="A116" s="213"/>
      <c r="B116" s="216"/>
      <c r="C116" s="204"/>
      <c r="D116" s="204"/>
      <c r="E116" s="204"/>
      <c r="F116" s="220"/>
      <c r="G116" s="204"/>
      <c r="H116" s="207"/>
      <c r="I116" s="52" t="s">
        <v>122</v>
      </c>
      <c r="J116" s="49">
        <f t="shared" ref="J116:J118" si="50">SUM(K116:O116)</f>
        <v>0</v>
      </c>
      <c r="K116" s="24"/>
      <c r="L116" s="31"/>
      <c r="M116" s="31"/>
      <c r="N116" s="31"/>
      <c r="O116" s="35"/>
      <c r="P116" s="41">
        <f t="shared" si="28"/>
        <v>0</v>
      </c>
      <c r="Q116" s="41">
        <f t="shared" si="29"/>
        <v>0</v>
      </c>
      <c r="R116" s="41">
        <f t="shared" si="30"/>
        <v>0</v>
      </c>
      <c r="S116" s="41">
        <f t="shared" si="31"/>
        <v>0</v>
      </c>
      <c r="T116" s="41">
        <f t="shared" si="32"/>
        <v>0</v>
      </c>
      <c r="U116" s="223"/>
      <c r="V116" s="124"/>
      <c r="W116" s="228"/>
    </row>
    <row r="117" spans="1:23" ht="15" thickBot="1">
      <c r="A117" s="213"/>
      <c r="B117" s="216"/>
      <c r="C117" s="204"/>
      <c r="D117" s="204"/>
      <c r="E117" s="204"/>
      <c r="F117" s="220"/>
      <c r="G117" s="204"/>
      <c r="H117" s="207"/>
      <c r="I117" s="52" t="s">
        <v>123</v>
      </c>
      <c r="J117" s="49">
        <f t="shared" si="50"/>
        <v>0</v>
      </c>
      <c r="K117" s="24"/>
      <c r="L117" s="31"/>
      <c r="M117" s="31"/>
      <c r="N117" s="31"/>
      <c r="O117" s="35"/>
      <c r="P117" s="41">
        <f t="shared" si="28"/>
        <v>0</v>
      </c>
      <c r="Q117" s="41">
        <f t="shared" si="29"/>
        <v>0</v>
      </c>
      <c r="R117" s="41">
        <f t="shared" si="30"/>
        <v>0</v>
      </c>
      <c r="S117" s="41">
        <f t="shared" si="31"/>
        <v>0</v>
      </c>
      <c r="T117" s="41">
        <f t="shared" si="32"/>
        <v>0</v>
      </c>
      <c r="U117" s="223"/>
      <c r="V117" s="124"/>
      <c r="W117" s="228"/>
    </row>
    <row r="118" spans="1:23" ht="15" thickBot="1">
      <c r="A118" s="214"/>
      <c r="B118" s="217"/>
      <c r="C118" s="205"/>
      <c r="D118" s="205"/>
      <c r="E118" s="205"/>
      <c r="F118" s="221"/>
      <c r="G118" s="205"/>
      <c r="H118" s="208"/>
      <c r="I118" s="53" t="s">
        <v>124</v>
      </c>
      <c r="J118" s="50">
        <f t="shared" si="50"/>
        <v>0</v>
      </c>
      <c r="K118" s="38"/>
      <c r="L118" s="39"/>
      <c r="M118" s="39"/>
      <c r="N118" s="39"/>
      <c r="O118" s="40"/>
      <c r="P118" s="41">
        <f t="shared" si="28"/>
        <v>0</v>
      </c>
      <c r="Q118" s="41">
        <f t="shared" si="29"/>
        <v>0</v>
      </c>
      <c r="R118" s="41">
        <f t="shared" si="30"/>
        <v>0</v>
      </c>
      <c r="S118" s="41">
        <f t="shared" si="31"/>
        <v>0</v>
      </c>
      <c r="T118" s="41">
        <f t="shared" si="32"/>
        <v>0</v>
      </c>
      <c r="U118" s="224"/>
      <c r="V118" s="125"/>
      <c r="W118" s="228"/>
    </row>
    <row r="119" spans="1:23" ht="15" thickBot="1">
      <c r="A119" s="212">
        <v>27</v>
      </c>
      <c r="B119" s="215"/>
      <c r="C119" s="218"/>
      <c r="D119" s="203"/>
      <c r="E119" s="203"/>
      <c r="F119" s="219"/>
      <c r="G119" s="203"/>
      <c r="H119" s="206"/>
      <c r="I119" s="51" t="s">
        <v>121</v>
      </c>
      <c r="J119" s="48">
        <f>SUM(K119:O119)</f>
        <v>0</v>
      </c>
      <c r="K119" s="32"/>
      <c r="L119" s="33"/>
      <c r="M119" s="33"/>
      <c r="N119" s="33"/>
      <c r="O119" s="34"/>
      <c r="P119" s="41">
        <f t="shared" si="28"/>
        <v>0</v>
      </c>
      <c r="Q119" s="41">
        <f t="shared" si="29"/>
        <v>0</v>
      </c>
      <c r="R119" s="41">
        <f t="shared" si="30"/>
        <v>0</v>
      </c>
      <c r="S119" s="41">
        <f t="shared" si="31"/>
        <v>0</v>
      </c>
      <c r="T119" s="41">
        <f t="shared" si="32"/>
        <v>0</v>
      </c>
      <c r="U119" s="222" t="str">
        <f t="shared" ref="U119" si="51">IF(E119="CAT 1 - Reject",IF(P119&lt;&gt;"",P119*J119+IF(P120&lt;&gt;"",P120*J120+IF(P121&lt;&gt;"",P121*J121+IF(P122&lt;&gt;"",P122*J122,"blank"))))/SUM(J119:J122),IF(E119="CAT 2 - Counterfeit",IF(Q119&lt;&gt;"",Q119*J119+IF(Q120&lt;&gt;"",Q120*J120+IF(Q121&lt;&gt;"",Q121*J121+IF(Q122&lt;&gt;"",Q122*J122,"blank"))))/SUM(J119:J122),IF(E119="CAT 3 - Suspect",IF(R119&lt;&gt;"",R119*J119+IF(R120&lt;&gt;"",R120*J120+IF(R121&lt;&gt;"",R121*J121+IF(R122&lt;&gt;"",R122*J122,"blank"))))/SUM(J119:J122),IF(E119="CAT 4a/4 - Genuine Fit",IF(S119&lt;&gt;"",S119*J119+IF(S120&lt;&gt;"",S120*J120+IF(S121&lt;&gt;"",S121*J121+IF(S122&lt;&gt;"",S122*J122,"blank"))))/SUM(J119:J122),IF(E119="CAT 4b/5 - Genuine Unfit",IF(T119&lt;&gt;"",T119*J119+IF(T120&lt;&gt;"",T120*J120+IF(T121&lt;&gt;"",T121*J121+IF(T122&lt;&gt;"",T122*J122,"blank"))))/SUM(J119:J122),"")))))</f>
        <v/>
      </c>
      <c r="V119" s="123"/>
      <c r="W119" s="209"/>
    </row>
    <row r="120" spans="1:23" ht="15" thickBot="1">
      <c r="A120" s="213"/>
      <c r="B120" s="216"/>
      <c r="C120" s="204"/>
      <c r="D120" s="204"/>
      <c r="E120" s="204"/>
      <c r="F120" s="220"/>
      <c r="G120" s="204"/>
      <c r="H120" s="207"/>
      <c r="I120" s="52" t="s">
        <v>122</v>
      </c>
      <c r="J120" s="49">
        <f t="shared" ref="J120:J122" si="52">SUM(K120:O120)</f>
        <v>0</v>
      </c>
      <c r="K120" s="24"/>
      <c r="L120" s="31"/>
      <c r="M120" s="31"/>
      <c r="N120" s="31"/>
      <c r="O120" s="35"/>
      <c r="P120" s="41">
        <f t="shared" si="28"/>
        <v>0</v>
      </c>
      <c r="Q120" s="41">
        <f t="shared" si="29"/>
        <v>0</v>
      </c>
      <c r="R120" s="41">
        <f t="shared" si="30"/>
        <v>0</v>
      </c>
      <c r="S120" s="41">
        <f t="shared" si="31"/>
        <v>0</v>
      </c>
      <c r="T120" s="41">
        <f t="shared" si="32"/>
        <v>0</v>
      </c>
      <c r="U120" s="223"/>
      <c r="V120" s="124"/>
      <c r="W120" s="210"/>
    </row>
    <row r="121" spans="1:23" ht="15" thickBot="1">
      <c r="A121" s="213"/>
      <c r="B121" s="216"/>
      <c r="C121" s="204"/>
      <c r="D121" s="204"/>
      <c r="E121" s="204"/>
      <c r="F121" s="220"/>
      <c r="G121" s="204"/>
      <c r="H121" s="207"/>
      <c r="I121" s="52" t="s">
        <v>123</v>
      </c>
      <c r="J121" s="49">
        <f t="shared" si="52"/>
        <v>0</v>
      </c>
      <c r="K121" s="24"/>
      <c r="L121" s="31"/>
      <c r="M121" s="31"/>
      <c r="N121" s="31"/>
      <c r="O121" s="35"/>
      <c r="P121" s="41">
        <f t="shared" si="28"/>
        <v>0</v>
      </c>
      <c r="Q121" s="41">
        <f t="shared" si="29"/>
        <v>0</v>
      </c>
      <c r="R121" s="41">
        <f t="shared" si="30"/>
        <v>0</v>
      </c>
      <c r="S121" s="41">
        <f t="shared" si="31"/>
        <v>0</v>
      </c>
      <c r="T121" s="41">
        <f t="shared" si="32"/>
        <v>0</v>
      </c>
      <c r="U121" s="223"/>
      <c r="V121" s="124"/>
      <c r="W121" s="210"/>
    </row>
    <row r="122" spans="1:23" ht="15" thickBot="1">
      <c r="A122" s="214"/>
      <c r="B122" s="217"/>
      <c r="C122" s="205"/>
      <c r="D122" s="205"/>
      <c r="E122" s="205"/>
      <c r="F122" s="221"/>
      <c r="G122" s="205"/>
      <c r="H122" s="208"/>
      <c r="I122" s="53" t="s">
        <v>124</v>
      </c>
      <c r="J122" s="50">
        <f t="shared" si="52"/>
        <v>0</v>
      </c>
      <c r="K122" s="38"/>
      <c r="L122" s="39"/>
      <c r="M122" s="39"/>
      <c r="N122" s="39"/>
      <c r="O122" s="40"/>
      <c r="P122" s="41">
        <f t="shared" si="28"/>
        <v>0</v>
      </c>
      <c r="Q122" s="41">
        <f t="shared" si="29"/>
        <v>0</v>
      </c>
      <c r="R122" s="41">
        <f t="shared" si="30"/>
        <v>0</v>
      </c>
      <c r="S122" s="41">
        <f t="shared" si="31"/>
        <v>0</v>
      </c>
      <c r="T122" s="41">
        <f t="shared" si="32"/>
        <v>0</v>
      </c>
      <c r="U122" s="224"/>
      <c r="V122" s="125"/>
      <c r="W122" s="211"/>
    </row>
    <row r="123" spans="1:23" ht="15" thickBot="1">
      <c r="A123" s="212">
        <v>28</v>
      </c>
      <c r="B123" s="215"/>
      <c r="C123" s="218"/>
      <c r="D123" s="203"/>
      <c r="E123" s="203"/>
      <c r="F123" s="219"/>
      <c r="G123" s="203"/>
      <c r="H123" s="206"/>
      <c r="I123" s="51" t="s">
        <v>121</v>
      </c>
      <c r="J123" s="48">
        <f>SUM(K123:O123)</f>
        <v>0</v>
      </c>
      <c r="K123" s="32"/>
      <c r="L123" s="33"/>
      <c r="M123" s="33"/>
      <c r="N123" s="33"/>
      <c r="O123" s="34"/>
      <c r="P123" s="41">
        <f t="shared" si="28"/>
        <v>0</v>
      </c>
      <c r="Q123" s="41">
        <f t="shared" si="29"/>
        <v>0</v>
      </c>
      <c r="R123" s="41">
        <f t="shared" si="30"/>
        <v>0</v>
      </c>
      <c r="S123" s="41">
        <f t="shared" si="31"/>
        <v>0</v>
      </c>
      <c r="T123" s="41">
        <f t="shared" si="32"/>
        <v>0</v>
      </c>
      <c r="U123" s="222" t="str">
        <f t="shared" ref="U123" si="53">IF(E123="CAT 1 - Reject",IF(P123&lt;&gt;"",P123*J123+IF(P124&lt;&gt;"",P124*J124+IF(P125&lt;&gt;"",P125*J125+IF(P126&lt;&gt;"",P126*J126,"blank"))))/SUM(J123:J126),IF(E123="CAT 2 - Counterfeit",IF(Q123&lt;&gt;"",Q123*J123+IF(Q124&lt;&gt;"",Q124*J124+IF(Q125&lt;&gt;"",Q125*J125+IF(Q126&lt;&gt;"",Q126*J126,"blank"))))/SUM(J123:J126),IF(E123="CAT 3 - Suspect",IF(R123&lt;&gt;"",R123*J123+IF(R124&lt;&gt;"",R124*J124+IF(R125&lt;&gt;"",R125*J125+IF(R126&lt;&gt;"",R126*J126,"blank"))))/SUM(J123:J126),IF(E123="CAT 4a/4 - Genuine Fit",IF(S123&lt;&gt;"",S123*J123+IF(S124&lt;&gt;"",S124*J124+IF(S125&lt;&gt;"",S125*J125+IF(S126&lt;&gt;"",S126*J126,"blank"))))/SUM(J123:J126),IF(E123="CAT 4b/5 - Genuine Unfit",IF(T123&lt;&gt;"",T123*J123+IF(T124&lt;&gt;"",T124*J124+IF(T125&lt;&gt;"",T125*J125+IF(T126&lt;&gt;"",T126*J126,"blank"))))/SUM(J123:J126),"")))))</f>
        <v/>
      </c>
      <c r="V123" s="123"/>
      <c r="W123" s="228"/>
    </row>
    <row r="124" spans="1:23" ht="15" thickBot="1">
      <c r="A124" s="213"/>
      <c r="B124" s="216"/>
      <c r="C124" s="204"/>
      <c r="D124" s="204"/>
      <c r="E124" s="204"/>
      <c r="F124" s="220"/>
      <c r="G124" s="204"/>
      <c r="H124" s="207"/>
      <c r="I124" s="52" t="s">
        <v>122</v>
      </c>
      <c r="J124" s="49">
        <f t="shared" ref="J124:J126" si="54">SUM(K124:O124)</f>
        <v>0</v>
      </c>
      <c r="K124" s="24"/>
      <c r="L124" s="31"/>
      <c r="M124" s="31"/>
      <c r="N124" s="31"/>
      <c r="O124" s="35"/>
      <c r="P124" s="41">
        <f t="shared" si="28"/>
        <v>0</v>
      </c>
      <c r="Q124" s="41">
        <f t="shared" si="29"/>
        <v>0</v>
      </c>
      <c r="R124" s="41">
        <f t="shared" si="30"/>
        <v>0</v>
      </c>
      <c r="S124" s="41">
        <f t="shared" si="31"/>
        <v>0</v>
      </c>
      <c r="T124" s="41">
        <f t="shared" si="32"/>
        <v>0</v>
      </c>
      <c r="U124" s="223"/>
      <c r="V124" s="124"/>
      <c r="W124" s="229"/>
    </row>
    <row r="125" spans="1:23" ht="15" thickBot="1">
      <c r="A125" s="213"/>
      <c r="B125" s="216"/>
      <c r="C125" s="204"/>
      <c r="D125" s="204"/>
      <c r="E125" s="204"/>
      <c r="F125" s="220"/>
      <c r="G125" s="204"/>
      <c r="H125" s="207"/>
      <c r="I125" s="52" t="s">
        <v>123</v>
      </c>
      <c r="J125" s="49">
        <f t="shared" si="54"/>
        <v>0</v>
      </c>
      <c r="K125" s="24"/>
      <c r="L125" s="31"/>
      <c r="M125" s="31"/>
      <c r="N125" s="31"/>
      <c r="O125" s="35"/>
      <c r="P125" s="41">
        <f t="shared" si="28"/>
        <v>0</v>
      </c>
      <c r="Q125" s="41">
        <f t="shared" si="29"/>
        <v>0</v>
      </c>
      <c r="R125" s="41">
        <f t="shared" si="30"/>
        <v>0</v>
      </c>
      <c r="S125" s="41">
        <f t="shared" si="31"/>
        <v>0</v>
      </c>
      <c r="T125" s="41">
        <f t="shared" si="32"/>
        <v>0</v>
      </c>
      <c r="U125" s="223"/>
      <c r="V125" s="124"/>
      <c r="W125" s="229"/>
    </row>
    <row r="126" spans="1:23" ht="15" thickBot="1">
      <c r="A126" s="214"/>
      <c r="B126" s="217"/>
      <c r="C126" s="205"/>
      <c r="D126" s="205"/>
      <c r="E126" s="205"/>
      <c r="F126" s="221"/>
      <c r="G126" s="205"/>
      <c r="H126" s="208"/>
      <c r="I126" s="53" t="s">
        <v>124</v>
      </c>
      <c r="J126" s="50">
        <f t="shared" si="54"/>
        <v>0</v>
      </c>
      <c r="K126" s="25"/>
      <c r="L126" s="36"/>
      <c r="M126" s="36"/>
      <c r="N126" s="36"/>
      <c r="O126" s="37"/>
      <c r="P126" s="41">
        <f t="shared" si="28"/>
        <v>0</v>
      </c>
      <c r="Q126" s="41">
        <f t="shared" si="29"/>
        <v>0</v>
      </c>
      <c r="R126" s="41">
        <f t="shared" si="30"/>
        <v>0</v>
      </c>
      <c r="S126" s="41">
        <f t="shared" si="31"/>
        <v>0</v>
      </c>
      <c r="T126" s="41">
        <f t="shared" si="32"/>
        <v>0</v>
      </c>
      <c r="U126" s="224"/>
      <c r="V126" s="125"/>
      <c r="W126" s="229"/>
    </row>
    <row r="127" spans="1:23" ht="15" thickBot="1">
      <c r="A127" s="212">
        <v>29</v>
      </c>
      <c r="B127" s="215"/>
      <c r="C127" s="218"/>
      <c r="D127" s="203"/>
      <c r="E127" s="203"/>
      <c r="F127" s="219"/>
      <c r="G127" s="203"/>
      <c r="H127" s="206"/>
      <c r="I127" s="51" t="s">
        <v>121</v>
      </c>
      <c r="J127" s="48">
        <f>SUM(K127:O127)</f>
        <v>0</v>
      </c>
      <c r="K127" s="32"/>
      <c r="L127" s="33"/>
      <c r="M127" s="33"/>
      <c r="N127" s="33"/>
      <c r="O127" s="34"/>
      <c r="P127" s="41">
        <f t="shared" si="28"/>
        <v>0</v>
      </c>
      <c r="Q127" s="41">
        <f t="shared" si="29"/>
        <v>0</v>
      </c>
      <c r="R127" s="41">
        <f t="shared" si="30"/>
        <v>0</v>
      </c>
      <c r="S127" s="41">
        <f t="shared" si="31"/>
        <v>0</v>
      </c>
      <c r="T127" s="41">
        <f t="shared" si="32"/>
        <v>0</v>
      </c>
      <c r="U127" s="222" t="str">
        <f t="shared" ref="U127" si="55">IF(E127="CAT 1 - Reject",IF(P127&lt;&gt;"",P127*J127+IF(P128&lt;&gt;"",P128*J128+IF(P129&lt;&gt;"",P129*J129+IF(P130&lt;&gt;"",P130*J130,"blank"))))/SUM(J127:J130),IF(E127="CAT 2 - Counterfeit",IF(Q127&lt;&gt;"",Q127*J127+IF(Q128&lt;&gt;"",Q128*J128+IF(Q129&lt;&gt;"",Q129*J129+IF(Q130&lt;&gt;"",Q130*J130,"blank"))))/SUM(J127:J130),IF(E127="CAT 3 - Suspect",IF(R127&lt;&gt;"",R127*J127+IF(R128&lt;&gt;"",R128*J128+IF(R129&lt;&gt;"",R129*J129+IF(R130&lt;&gt;"",R130*J130,"blank"))))/SUM(J127:J130),IF(E127="CAT 4a/4 - Genuine Fit",IF(S127&lt;&gt;"",S127*J127+IF(S128&lt;&gt;"",S128*J128+IF(S129&lt;&gt;"",S129*J129+IF(S130&lt;&gt;"",S130*J130,"blank"))))/SUM(J127:J130),IF(E127="CAT 4b/5 - Genuine Unfit",IF(T127&lt;&gt;"",T127*J127+IF(T128&lt;&gt;"",T128*J128+IF(T129&lt;&gt;"",T129*J129+IF(T130&lt;&gt;"",T130*J130,"blank"))))/SUM(J127:J130),"")))))</f>
        <v/>
      </c>
      <c r="V127" s="123"/>
      <c r="W127" s="209"/>
    </row>
    <row r="128" spans="1:23" ht="15" thickBot="1">
      <c r="A128" s="213"/>
      <c r="B128" s="216"/>
      <c r="C128" s="204"/>
      <c r="D128" s="204"/>
      <c r="E128" s="204"/>
      <c r="F128" s="220"/>
      <c r="G128" s="204"/>
      <c r="H128" s="207"/>
      <c r="I128" s="52" t="s">
        <v>122</v>
      </c>
      <c r="J128" s="49">
        <f t="shared" ref="J128:J130" si="56">SUM(K128:O128)</f>
        <v>0</v>
      </c>
      <c r="K128" s="24"/>
      <c r="L128" s="31"/>
      <c r="M128" s="31"/>
      <c r="N128" s="31"/>
      <c r="O128" s="35"/>
      <c r="P128" s="41">
        <f t="shared" si="28"/>
        <v>0</v>
      </c>
      <c r="Q128" s="41">
        <f t="shared" si="29"/>
        <v>0</v>
      </c>
      <c r="R128" s="41">
        <f t="shared" si="30"/>
        <v>0</v>
      </c>
      <c r="S128" s="41">
        <f t="shared" si="31"/>
        <v>0</v>
      </c>
      <c r="T128" s="41">
        <f t="shared" si="32"/>
        <v>0</v>
      </c>
      <c r="U128" s="223"/>
      <c r="V128" s="124"/>
      <c r="W128" s="210"/>
    </row>
    <row r="129" spans="1:39" ht="15" thickBot="1">
      <c r="A129" s="213"/>
      <c r="B129" s="216"/>
      <c r="C129" s="204"/>
      <c r="D129" s="204"/>
      <c r="E129" s="204"/>
      <c r="F129" s="220"/>
      <c r="G129" s="204"/>
      <c r="H129" s="207"/>
      <c r="I129" s="52" t="s">
        <v>123</v>
      </c>
      <c r="J129" s="49">
        <f t="shared" si="56"/>
        <v>0</v>
      </c>
      <c r="K129" s="24"/>
      <c r="L129" s="31"/>
      <c r="M129" s="31"/>
      <c r="N129" s="31"/>
      <c r="O129" s="35"/>
      <c r="P129" s="41">
        <f t="shared" si="28"/>
        <v>0</v>
      </c>
      <c r="Q129" s="41">
        <f t="shared" si="29"/>
        <v>0</v>
      </c>
      <c r="R129" s="41">
        <f t="shared" si="30"/>
        <v>0</v>
      </c>
      <c r="S129" s="41">
        <f t="shared" si="31"/>
        <v>0</v>
      </c>
      <c r="T129" s="41">
        <f t="shared" si="32"/>
        <v>0</v>
      </c>
      <c r="U129" s="223"/>
      <c r="V129" s="124"/>
      <c r="W129" s="210"/>
    </row>
    <row r="130" spans="1:39" ht="15" thickBot="1">
      <c r="A130" s="214"/>
      <c r="B130" s="217"/>
      <c r="C130" s="205"/>
      <c r="D130" s="205"/>
      <c r="E130" s="205"/>
      <c r="F130" s="221"/>
      <c r="G130" s="205"/>
      <c r="H130" s="208"/>
      <c r="I130" s="53" t="s">
        <v>124</v>
      </c>
      <c r="J130" s="50">
        <f t="shared" si="56"/>
        <v>0</v>
      </c>
      <c r="K130" s="25"/>
      <c r="L130" s="36"/>
      <c r="M130" s="36"/>
      <c r="N130" s="36"/>
      <c r="O130" s="37"/>
      <c r="P130" s="41">
        <f t="shared" si="28"/>
        <v>0</v>
      </c>
      <c r="Q130" s="41">
        <f t="shared" si="29"/>
        <v>0</v>
      </c>
      <c r="R130" s="41">
        <f t="shared" si="30"/>
        <v>0</v>
      </c>
      <c r="S130" s="41">
        <f t="shared" si="31"/>
        <v>0</v>
      </c>
      <c r="T130" s="41">
        <f t="shared" si="32"/>
        <v>0</v>
      </c>
      <c r="U130" s="224"/>
      <c r="V130" s="125"/>
      <c r="W130" s="211"/>
    </row>
    <row r="131" spans="1:39" ht="15" thickBot="1">
      <c r="A131" s="212">
        <v>30</v>
      </c>
      <c r="B131" s="215"/>
      <c r="C131" s="218"/>
      <c r="D131" s="203"/>
      <c r="E131" s="203"/>
      <c r="F131" s="219"/>
      <c r="G131" s="203"/>
      <c r="H131" s="206"/>
      <c r="I131" s="51" t="s">
        <v>121</v>
      </c>
      <c r="J131" s="48">
        <f>SUM(K131:O131)</f>
        <v>0</v>
      </c>
      <c r="K131" s="32"/>
      <c r="L131" s="33"/>
      <c r="M131" s="33"/>
      <c r="N131" s="33"/>
      <c r="O131" s="34"/>
      <c r="P131" s="41">
        <f t="shared" si="28"/>
        <v>0</v>
      </c>
      <c r="Q131" s="41">
        <f t="shared" si="29"/>
        <v>0</v>
      </c>
      <c r="R131" s="41">
        <f t="shared" si="30"/>
        <v>0</v>
      </c>
      <c r="S131" s="41">
        <f t="shared" si="31"/>
        <v>0</v>
      </c>
      <c r="T131" s="41">
        <f t="shared" si="32"/>
        <v>0</v>
      </c>
      <c r="U131" s="222" t="str">
        <f t="shared" ref="U131" si="57">IF(E131="CAT 1 - Reject",IF(P131&lt;&gt;"",P131*J131+IF(P132&lt;&gt;"",P132*J132+IF(P133&lt;&gt;"",P133*J133+IF(P134&lt;&gt;"",P134*J134,"blank"))))/SUM(J131:J134),IF(E131="CAT 2 - Counterfeit",IF(Q131&lt;&gt;"",Q131*J131+IF(Q132&lt;&gt;"",Q132*J132+IF(Q133&lt;&gt;"",Q133*J133+IF(Q134&lt;&gt;"",Q134*J134,"blank"))))/SUM(J131:J134),IF(E131="CAT 3 - Suspect",IF(R131&lt;&gt;"",R131*J131+IF(R132&lt;&gt;"",R132*J132+IF(R133&lt;&gt;"",R133*J133+IF(R134&lt;&gt;"",R134*J134,"blank"))))/SUM(J131:J134),IF(E131="CAT 4a/4 - Genuine Fit",IF(S131&lt;&gt;"",S131*J131+IF(S132&lt;&gt;"",S132*J132+IF(S133&lt;&gt;"",S133*J133+IF(S134&lt;&gt;"",S134*J134,"blank"))))/SUM(J131:J134),IF(E131="CAT 4b/5 - Genuine Unfit",IF(T131&lt;&gt;"",T131*J131+IF(T132&lt;&gt;"",T132*J132+IF(T133&lt;&gt;"",T133*J133+IF(T134&lt;&gt;"",T134*J134,"blank"))))/SUM(J131:J134),"")))))</f>
        <v/>
      </c>
      <c r="V131" s="123"/>
      <c r="W131" s="228"/>
    </row>
    <row r="132" spans="1:39" ht="15" thickBot="1">
      <c r="A132" s="213"/>
      <c r="B132" s="216"/>
      <c r="C132" s="204"/>
      <c r="D132" s="204"/>
      <c r="E132" s="204"/>
      <c r="F132" s="220"/>
      <c r="G132" s="204"/>
      <c r="H132" s="207"/>
      <c r="I132" s="52" t="s">
        <v>122</v>
      </c>
      <c r="J132" s="49">
        <f t="shared" ref="J132:J134" si="58">SUM(K132:O132)</f>
        <v>0</v>
      </c>
      <c r="K132" s="24"/>
      <c r="L132" s="31"/>
      <c r="M132" s="31"/>
      <c r="N132" s="31"/>
      <c r="O132" s="35"/>
      <c r="P132" s="41">
        <f t="shared" si="28"/>
        <v>0</v>
      </c>
      <c r="Q132" s="41">
        <f t="shared" si="29"/>
        <v>0</v>
      </c>
      <c r="R132" s="41">
        <f t="shared" si="30"/>
        <v>0</v>
      </c>
      <c r="S132" s="41">
        <f t="shared" si="31"/>
        <v>0</v>
      </c>
      <c r="T132" s="41">
        <f t="shared" si="32"/>
        <v>0</v>
      </c>
      <c r="U132" s="223"/>
      <c r="V132" s="124"/>
      <c r="W132" s="229"/>
    </row>
    <row r="133" spans="1:39" ht="15" thickBot="1">
      <c r="A133" s="213"/>
      <c r="B133" s="216"/>
      <c r="C133" s="204"/>
      <c r="D133" s="204"/>
      <c r="E133" s="204"/>
      <c r="F133" s="220"/>
      <c r="G133" s="204"/>
      <c r="H133" s="207"/>
      <c r="I133" s="52" t="s">
        <v>123</v>
      </c>
      <c r="J133" s="49">
        <f t="shared" si="58"/>
        <v>0</v>
      </c>
      <c r="K133" s="24"/>
      <c r="L133" s="31"/>
      <c r="M133" s="31"/>
      <c r="N133" s="31"/>
      <c r="O133" s="35"/>
      <c r="P133" s="41">
        <f t="shared" si="28"/>
        <v>0</v>
      </c>
      <c r="Q133" s="41">
        <f t="shared" si="29"/>
        <v>0</v>
      </c>
      <c r="R133" s="41">
        <f t="shared" si="30"/>
        <v>0</v>
      </c>
      <c r="S133" s="41">
        <f t="shared" si="31"/>
        <v>0</v>
      </c>
      <c r="T133" s="41">
        <f t="shared" si="32"/>
        <v>0</v>
      </c>
      <c r="U133" s="223"/>
      <c r="V133" s="124"/>
      <c r="W133" s="229"/>
    </row>
    <row r="134" spans="1:39" ht="15" thickBot="1">
      <c r="A134" s="214"/>
      <c r="B134" s="217"/>
      <c r="C134" s="205"/>
      <c r="D134" s="205"/>
      <c r="E134" s="205"/>
      <c r="F134" s="221"/>
      <c r="G134" s="205"/>
      <c r="H134" s="208"/>
      <c r="I134" s="53" t="s">
        <v>124</v>
      </c>
      <c r="J134" s="50">
        <f t="shared" si="58"/>
        <v>0</v>
      </c>
      <c r="K134" s="25"/>
      <c r="L134" s="36"/>
      <c r="M134" s="36"/>
      <c r="N134" s="36"/>
      <c r="O134" s="37"/>
      <c r="P134" s="41">
        <f t="shared" si="28"/>
        <v>0</v>
      </c>
      <c r="Q134" s="41">
        <f t="shared" si="29"/>
        <v>0</v>
      </c>
      <c r="R134" s="41">
        <f t="shared" si="30"/>
        <v>0</v>
      </c>
      <c r="S134" s="41">
        <f t="shared" si="31"/>
        <v>0</v>
      </c>
      <c r="T134" s="41">
        <f t="shared" si="32"/>
        <v>0</v>
      </c>
      <c r="U134" s="224"/>
      <c r="V134" s="125"/>
      <c r="W134" s="229"/>
      <c r="AM134" s="123"/>
    </row>
    <row r="135" spans="1:39">
      <c r="AM135" s="124"/>
    </row>
    <row r="136" spans="1:39">
      <c r="AM136" s="124"/>
    </row>
    <row r="137" spans="1:39" ht="15" thickBot="1">
      <c r="AM137" s="125"/>
    </row>
  </sheetData>
  <mergeCells count="326">
    <mergeCell ref="Q5:Q6"/>
    <mergeCell ref="R5:R6"/>
    <mergeCell ref="T5:T6"/>
    <mergeCell ref="U5:U6"/>
    <mergeCell ref="A7:C7"/>
    <mergeCell ref="D7:E7"/>
    <mergeCell ref="G7:I7"/>
    <mergeCell ref="J7:K7"/>
    <mergeCell ref="A2:W2"/>
    <mergeCell ref="D4:E4"/>
    <mergeCell ref="J4:K4"/>
    <mergeCell ref="M4:R4"/>
    <mergeCell ref="T4:U4"/>
    <mergeCell ref="D5:E5"/>
    <mergeCell ref="M5:M6"/>
    <mergeCell ref="N5:N6"/>
    <mergeCell ref="O5:O6"/>
    <mergeCell ref="P5:P6"/>
    <mergeCell ref="A8:C8"/>
    <mergeCell ref="D8:E8"/>
    <mergeCell ref="G8:I8"/>
    <mergeCell ref="J8:K8"/>
    <mergeCell ref="M11:O11"/>
    <mergeCell ref="A15:A18"/>
    <mergeCell ref="B15:B18"/>
    <mergeCell ref="C15:C18"/>
    <mergeCell ref="D15:D18"/>
    <mergeCell ref="E15:E18"/>
    <mergeCell ref="F15:F18"/>
    <mergeCell ref="G15:G18"/>
    <mergeCell ref="H15:H18"/>
    <mergeCell ref="U15:U18"/>
    <mergeCell ref="W15:W18"/>
    <mergeCell ref="A19:A22"/>
    <mergeCell ref="B19:B22"/>
    <mergeCell ref="C19:C22"/>
    <mergeCell ref="D19:D22"/>
    <mergeCell ref="E19:E22"/>
    <mergeCell ref="F19:F22"/>
    <mergeCell ref="G19:G22"/>
    <mergeCell ref="H19:H22"/>
    <mergeCell ref="U19:U22"/>
    <mergeCell ref="W19:W22"/>
    <mergeCell ref="V15:V18"/>
    <mergeCell ref="V19:V22"/>
    <mergeCell ref="W23:W26"/>
    <mergeCell ref="A27:A30"/>
    <mergeCell ref="B27:B30"/>
    <mergeCell ref="C27:C30"/>
    <mergeCell ref="D27:D30"/>
    <mergeCell ref="E27:E30"/>
    <mergeCell ref="F27:F30"/>
    <mergeCell ref="G27:G30"/>
    <mergeCell ref="H27:H30"/>
    <mergeCell ref="U27:U30"/>
    <mergeCell ref="W27:W30"/>
    <mergeCell ref="A23:A26"/>
    <mergeCell ref="B23:B26"/>
    <mergeCell ref="C23:C26"/>
    <mergeCell ref="D23:D26"/>
    <mergeCell ref="E23:E26"/>
    <mergeCell ref="F23:F26"/>
    <mergeCell ref="G23:G26"/>
    <mergeCell ref="H23:H26"/>
    <mergeCell ref="U23:U26"/>
    <mergeCell ref="V23:V26"/>
    <mergeCell ref="W31:W34"/>
    <mergeCell ref="A35:A38"/>
    <mergeCell ref="B35:B38"/>
    <mergeCell ref="C35:C38"/>
    <mergeCell ref="D35:D38"/>
    <mergeCell ref="E35:E38"/>
    <mergeCell ref="F35:F38"/>
    <mergeCell ref="G35:G38"/>
    <mergeCell ref="H35:H38"/>
    <mergeCell ref="U35:U38"/>
    <mergeCell ref="W35:W38"/>
    <mergeCell ref="A31:A34"/>
    <mergeCell ref="B31:B34"/>
    <mergeCell ref="C31:C34"/>
    <mergeCell ref="D31:D34"/>
    <mergeCell ref="E31:E34"/>
    <mergeCell ref="F31:F34"/>
    <mergeCell ref="G31:G34"/>
    <mergeCell ref="H31:H34"/>
    <mergeCell ref="U31:U34"/>
    <mergeCell ref="W39:W42"/>
    <mergeCell ref="A43:A46"/>
    <mergeCell ref="B43:B46"/>
    <mergeCell ref="C43:C46"/>
    <mergeCell ref="D43:D46"/>
    <mergeCell ref="E43:E46"/>
    <mergeCell ref="F43:F46"/>
    <mergeCell ref="G43:G46"/>
    <mergeCell ref="H43:H46"/>
    <mergeCell ref="U43:U46"/>
    <mergeCell ref="W43:W46"/>
    <mergeCell ref="A39:A42"/>
    <mergeCell ref="B39:B42"/>
    <mergeCell ref="C39:C42"/>
    <mergeCell ref="D39:D42"/>
    <mergeCell ref="E39:E42"/>
    <mergeCell ref="F39:F42"/>
    <mergeCell ref="G39:G42"/>
    <mergeCell ref="H39:H42"/>
    <mergeCell ref="U39:U42"/>
    <mergeCell ref="W47:W50"/>
    <mergeCell ref="A51:A54"/>
    <mergeCell ref="B51:B54"/>
    <mergeCell ref="C51:C54"/>
    <mergeCell ref="D51:D54"/>
    <mergeCell ref="E51:E54"/>
    <mergeCell ref="F51:F54"/>
    <mergeCell ref="G51:G54"/>
    <mergeCell ref="H51:H54"/>
    <mergeCell ref="U51:U54"/>
    <mergeCell ref="W51:W54"/>
    <mergeCell ref="A47:A50"/>
    <mergeCell ref="B47:B50"/>
    <mergeCell ref="C47:C50"/>
    <mergeCell ref="D47:D50"/>
    <mergeCell ref="E47:E50"/>
    <mergeCell ref="F47:F50"/>
    <mergeCell ref="G47:G50"/>
    <mergeCell ref="H47:H50"/>
    <mergeCell ref="U47:U50"/>
    <mergeCell ref="W55:W58"/>
    <mergeCell ref="A59:A62"/>
    <mergeCell ref="B59:B62"/>
    <mergeCell ref="C59:C62"/>
    <mergeCell ref="D59:D62"/>
    <mergeCell ref="E59:E62"/>
    <mergeCell ref="F59:F62"/>
    <mergeCell ref="G59:G62"/>
    <mergeCell ref="H59:H62"/>
    <mergeCell ref="U59:U62"/>
    <mergeCell ref="W59:W62"/>
    <mergeCell ref="A55:A58"/>
    <mergeCell ref="B55:B58"/>
    <mergeCell ref="C55:C58"/>
    <mergeCell ref="D55:D58"/>
    <mergeCell ref="E55:E58"/>
    <mergeCell ref="F55:F58"/>
    <mergeCell ref="G55:G58"/>
    <mergeCell ref="H55:H58"/>
    <mergeCell ref="U55:U58"/>
    <mergeCell ref="W63:W66"/>
    <mergeCell ref="A67:A70"/>
    <mergeCell ref="B67:B70"/>
    <mergeCell ref="C67:C70"/>
    <mergeCell ref="D67:D70"/>
    <mergeCell ref="E67:E70"/>
    <mergeCell ref="F67:F70"/>
    <mergeCell ref="G67:G70"/>
    <mergeCell ref="H67:H70"/>
    <mergeCell ref="U67:U70"/>
    <mergeCell ref="W67:W70"/>
    <mergeCell ref="A63:A66"/>
    <mergeCell ref="B63:B66"/>
    <mergeCell ref="C63:C66"/>
    <mergeCell ref="D63:D66"/>
    <mergeCell ref="E63:E66"/>
    <mergeCell ref="F63:F66"/>
    <mergeCell ref="G63:G66"/>
    <mergeCell ref="H63:H66"/>
    <mergeCell ref="U63:U66"/>
    <mergeCell ref="W71:W74"/>
    <mergeCell ref="A75:A78"/>
    <mergeCell ref="B75:B78"/>
    <mergeCell ref="C75:C78"/>
    <mergeCell ref="D75:D78"/>
    <mergeCell ref="E75:E78"/>
    <mergeCell ref="F75:F78"/>
    <mergeCell ref="G75:G78"/>
    <mergeCell ref="H75:H78"/>
    <mergeCell ref="U75:U78"/>
    <mergeCell ref="W75:W78"/>
    <mergeCell ref="A71:A74"/>
    <mergeCell ref="B71:B74"/>
    <mergeCell ref="C71:C74"/>
    <mergeCell ref="D71:D74"/>
    <mergeCell ref="E71:E74"/>
    <mergeCell ref="F71:F74"/>
    <mergeCell ref="G71:G74"/>
    <mergeCell ref="H71:H74"/>
    <mergeCell ref="U71:U74"/>
    <mergeCell ref="W79:W82"/>
    <mergeCell ref="A83:A86"/>
    <mergeCell ref="B83:B86"/>
    <mergeCell ref="C83:C86"/>
    <mergeCell ref="D83:D86"/>
    <mergeCell ref="E83:E86"/>
    <mergeCell ref="F83:F86"/>
    <mergeCell ref="G83:G86"/>
    <mergeCell ref="H83:H86"/>
    <mergeCell ref="U83:U86"/>
    <mergeCell ref="W83:W86"/>
    <mergeCell ref="A79:A82"/>
    <mergeCell ref="B79:B82"/>
    <mergeCell ref="C79:C82"/>
    <mergeCell ref="D79:D82"/>
    <mergeCell ref="E79:E82"/>
    <mergeCell ref="F79:F82"/>
    <mergeCell ref="G79:G82"/>
    <mergeCell ref="H79:H82"/>
    <mergeCell ref="U79:U82"/>
    <mergeCell ref="W87:W90"/>
    <mergeCell ref="A91:A94"/>
    <mergeCell ref="B91:B94"/>
    <mergeCell ref="C91:C94"/>
    <mergeCell ref="D91:D94"/>
    <mergeCell ref="E91:E94"/>
    <mergeCell ref="F91:F94"/>
    <mergeCell ref="G91:G94"/>
    <mergeCell ref="H91:H94"/>
    <mergeCell ref="U91:U94"/>
    <mergeCell ref="W91:W94"/>
    <mergeCell ref="A87:A90"/>
    <mergeCell ref="B87:B90"/>
    <mergeCell ref="C87:C90"/>
    <mergeCell ref="D87:D90"/>
    <mergeCell ref="E87:E90"/>
    <mergeCell ref="F87:F90"/>
    <mergeCell ref="G87:G90"/>
    <mergeCell ref="H87:H90"/>
    <mergeCell ref="U87:U90"/>
    <mergeCell ref="W95:W98"/>
    <mergeCell ref="A99:A102"/>
    <mergeCell ref="B99:B102"/>
    <mergeCell ref="C99:C102"/>
    <mergeCell ref="D99:D102"/>
    <mergeCell ref="E99:E102"/>
    <mergeCell ref="F99:F102"/>
    <mergeCell ref="G99:G102"/>
    <mergeCell ref="H99:H102"/>
    <mergeCell ref="U99:U102"/>
    <mergeCell ref="W99:W102"/>
    <mergeCell ref="A95:A98"/>
    <mergeCell ref="B95:B98"/>
    <mergeCell ref="C95:C98"/>
    <mergeCell ref="D95:D98"/>
    <mergeCell ref="E95:E98"/>
    <mergeCell ref="F95:F98"/>
    <mergeCell ref="G95:G98"/>
    <mergeCell ref="H95:H98"/>
    <mergeCell ref="U95:U98"/>
    <mergeCell ref="C119:C122"/>
    <mergeCell ref="W103:W106"/>
    <mergeCell ref="A107:A110"/>
    <mergeCell ref="B107:B110"/>
    <mergeCell ref="C107:C110"/>
    <mergeCell ref="D107:D110"/>
    <mergeCell ref="E107:E110"/>
    <mergeCell ref="F107:F110"/>
    <mergeCell ref="G107:G110"/>
    <mergeCell ref="H107:H110"/>
    <mergeCell ref="U107:U110"/>
    <mergeCell ref="W107:W110"/>
    <mergeCell ref="A103:A106"/>
    <mergeCell ref="B103:B106"/>
    <mergeCell ref="C103:C106"/>
    <mergeCell ref="D103:D106"/>
    <mergeCell ref="E103:E106"/>
    <mergeCell ref="F103:F106"/>
    <mergeCell ref="G103:G106"/>
    <mergeCell ref="H103:H106"/>
    <mergeCell ref="U103:U106"/>
    <mergeCell ref="W111:W114"/>
    <mergeCell ref="A115:A118"/>
    <mergeCell ref="B115:B118"/>
    <mergeCell ref="C115:C118"/>
    <mergeCell ref="D115:D118"/>
    <mergeCell ref="E115:E118"/>
    <mergeCell ref="F115:F118"/>
    <mergeCell ref="G115:G118"/>
    <mergeCell ref="H115:H118"/>
    <mergeCell ref="U115:U118"/>
    <mergeCell ref="W115:W118"/>
    <mergeCell ref="A111:A114"/>
    <mergeCell ref="B111:B114"/>
    <mergeCell ref="C111:C114"/>
    <mergeCell ref="D111:D114"/>
    <mergeCell ref="E111:E114"/>
    <mergeCell ref="F111:F114"/>
    <mergeCell ref="G111:G114"/>
    <mergeCell ref="H111:H114"/>
    <mergeCell ref="U111:U114"/>
    <mergeCell ref="D119:D122"/>
    <mergeCell ref="E119:E122"/>
    <mergeCell ref="W123:W126"/>
    <mergeCell ref="A127:A130"/>
    <mergeCell ref="B127:B130"/>
    <mergeCell ref="C127:C130"/>
    <mergeCell ref="D127:D130"/>
    <mergeCell ref="E127:E130"/>
    <mergeCell ref="F119:F122"/>
    <mergeCell ref="G119:G122"/>
    <mergeCell ref="H119:H122"/>
    <mergeCell ref="U119:U122"/>
    <mergeCell ref="W119:W122"/>
    <mergeCell ref="A123:A126"/>
    <mergeCell ref="B123:B126"/>
    <mergeCell ref="C123:C126"/>
    <mergeCell ref="D123:D126"/>
    <mergeCell ref="E123:E126"/>
    <mergeCell ref="F123:F126"/>
    <mergeCell ref="G123:G126"/>
    <mergeCell ref="H123:H126"/>
    <mergeCell ref="U123:U126"/>
    <mergeCell ref="A119:A122"/>
    <mergeCell ref="B119:B122"/>
    <mergeCell ref="W131:W134"/>
    <mergeCell ref="F127:F130"/>
    <mergeCell ref="G127:G130"/>
    <mergeCell ref="H127:H130"/>
    <mergeCell ref="U127:U130"/>
    <mergeCell ref="W127:W130"/>
    <mergeCell ref="A131:A134"/>
    <mergeCell ref="B131:B134"/>
    <mergeCell ref="C131:C134"/>
    <mergeCell ref="D131:D134"/>
    <mergeCell ref="E131:E134"/>
    <mergeCell ref="F131:F134"/>
    <mergeCell ref="G131:G134"/>
    <mergeCell ref="H131:H134"/>
    <mergeCell ref="U131:U134"/>
  </mergeCells>
  <conditionalFormatting sqref="U15:U134">
    <cfRule type="expression" dxfId="2" priority="2" stopIfTrue="1">
      <formula>IF(AND(U15&gt;(0.9*F15),U15&lt;F15),TRUE,FALSE)</formula>
    </cfRule>
    <cfRule type="cellIs" dxfId="1" priority="3" stopIfTrue="1" operator="greaterThanOrEqual">
      <formula>$F$15</formula>
    </cfRule>
    <cfRule type="expression" dxfId="0" priority="4">
      <formula>$U$15&lt;$F$15</formula>
    </cfRule>
  </conditionalFormatting>
  <conditionalFormatting sqref="U15:U134">
    <cfRule type="expression" priority="1" stopIfTrue="1">
      <formula>$F$15=""</formula>
    </cfRule>
  </conditionalFormatting>
  <dataValidations count="8">
    <dataValidation type="decimal" allowBlank="1" showInputMessage="1" showErrorMessage="1" sqref="F15:F134" xr:uid="{6D6D6F07-E037-425D-ABD7-4561EEBF5B3E}">
      <formula1>0</formula1>
      <formula2>0.9999</formula2>
    </dataValidation>
    <dataValidation allowBlank="1" showInputMessage="1" showErrorMessage="1" prompt="Any additional information you wish to share with developers. _x000a_E.g Additional information on how notes should be handled or further description of notes" sqref="W14" xr:uid="{3981840D-87B9-4635-8F39-B2D072C0579A}"/>
    <dataValidation allowBlank="1" showInputMessage="1" showErrorMessage="1" prompt="Enter name of file associated with specific data collection" sqref="V14" xr:uid="{0D23D521-FACD-43D9-9FF9-B375587C8F2F}"/>
    <dataValidation type="whole" allowBlank="1" showInputMessage="1" showErrorMessage="1" sqref="H15:H134 J15:O134" xr:uid="{D8BA464F-4E54-495F-A128-966D6C8F1E54}">
      <formula1>0</formula1>
      <formula2>1000</formula2>
    </dataValidation>
    <dataValidation type="whole" allowBlank="1" showInputMessage="1" showErrorMessage="1" sqref="A15:A134" xr:uid="{C6C4A4CC-8F22-46FD-A495-7C379488562A}">
      <formula1>0</formula1>
      <formula2>25</formula2>
    </dataValidation>
    <dataValidation allowBlank="1" showInputMessage="1" showErrorMessage="1" prompt="Select the correct condition of the notes you are entering" sqref="D14" xr:uid="{D54EDEA2-9F6D-455D-8FE5-8F7D8808736B}"/>
    <dataValidation allowBlank="1" showInputMessage="1" showErrorMessage="1" prompt="Select the category these notes should be recognised as" sqref="E14" xr:uid="{2985F739-6B93-4B1E-A971-C58E2DC9FFF2}"/>
    <dataValidation allowBlank="1" showInputMessage="1" showErrorMessage="1" prompt="Minimum acceptable percentage of notes reporting with correct category" sqref="F14" xr:uid="{94A25F80-95C9-4FB3-8F21-08CCC3A9120F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F6AF68-0045-4FB7-9F85-6AB30B376690}">
          <x14:formula1>
            <xm:f>Sheet2!$I$2:$I$4</xm:f>
          </x14:formula1>
          <xm:sqref>D8</xm:sqref>
        </x14:dataValidation>
        <x14:dataValidation type="list" allowBlank="1" showInputMessage="1" showErrorMessage="1" xr:uid="{F46BC5D1-8E0A-4AAD-B864-6DE9E4E67EC0}">
          <x14:formula1>
            <xm:f>Sheet2!$E$3:$E$5</xm:f>
          </x14:formula1>
          <xm:sqref>G15:G134</xm:sqref>
        </x14:dataValidation>
        <x14:dataValidation type="list" allowBlank="1" showInputMessage="1" showErrorMessage="1" xr:uid="{EE843889-7D43-4B19-BFAE-20518E495F53}">
          <x14:formula1>
            <xm:f>Sheet2!$C$3:$C$7</xm:f>
          </x14:formula1>
          <xm:sqref>E15:E134</xm:sqref>
        </x14:dataValidation>
        <x14:dataValidation type="list" allowBlank="1" showInputMessage="1" showErrorMessage="1" errorTitle="Invalid Entry!" error="Please select from the list of note conditions.  If unsure please contact the GCTM" xr:uid="{CC174ACA-1CC8-414A-9B61-9264920E3397}">
          <x14:formula1>
            <xm:f>Sheet2!$A$3:$A$12</xm:f>
          </x14:formula1>
          <xm:sqref>D15:D134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F88E5-CFFF-4402-84CF-E8A5D03704FB}">
  <sheetPr codeName="Sheet6"/>
  <dimension ref="A2:S38"/>
  <sheetViews>
    <sheetView zoomScale="160" zoomScaleNormal="160" workbookViewId="0">
      <selection activeCell="I33" sqref="I33:I35"/>
    </sheetView>
  </sheetViews>
  <sheetFormatPr defaultRowHeight="11.25"/>
  <cols>
    <col min="1" max="1" width="16.6640625" customWidth="1"/>
    <col min="3" max="3" width="20.83203125" customWidth="1"/>
    <col min="7" max="7" width="10.83203125" customWidth="1"/>
    <col min="9" max="9" width="11" customWidth="1"/>
  </cols>
  <sheetData>
    <row r="2" spans="1:9">
      <c r="A2" t="s">
        <v>129</v>
      </c>
      <c r="C2" t="s">
        <v>85</v>
      </c>
      <c r="E2" t="s">
        <v>105</v>
      </c>
      <c r="G2" t="s">
        <v>130</v>
      </c>
      <c r="I2" t="s">
        <v>131</v>
      </c>
    </row>
    <row r="3" spans="1:9">
      <c r="A3" t="s">
        <v>28</v>
      </c>
      <c r="C3" t="s">
        <v>132</v>
      </c>
      <c r="E3" t="s">
        <v>133</v>
      </c>
      <c r="G3">
        <v>1</v>
      </c>
      <c r="I3" t="s">
        <v>134</v>
      </c>
    </row>
    <row r="4" spans="1:9">
      <c r="A4" t="s">
        <v>93</v>
      </c>
      <c r="C4" t="s">
        <v>127</v>
      </c>
      <c r="E4" t="s">
        <v>135</v>
      </c>
      <c r="G4">
        <v>2</v>
      </c>
      <c r="I4" t="s">
        <v>91</v>
      </c>
    </row>
    <row r="5" spans="1:9">
      <c r="A5" t="s">
        <v>32</v>
      </c>
      <c r="C5" t="s">
        <v>136</v>
      </c>
      <c r="E5" t="s">
        <v>120</v>
      </c>
      <c r="G5">
        <v>3</v>
      </c>
    </row>
    <row r="6" spans="1:9">
      <c r="A6" t="s">
        <v>33</v>
      </c>
      <c r="C6" t="s">
        <v>119</v>
      </c>
      <c r="G6">
        <v>4</v>
      </c>
    </row>
    <row r="7" spans="1:9">
      <c r="A7" t="s">
        <v>36</v>
      </c>
      <c r="C7" t="s">
        <v>126</v>
      </c>
      <c r="G7">
        <v>5</v>
      </c>
    </row>
    <row r="8" spans="1:9">
      <c r="A8" t="s">
        <v>94</v>
      </c>
      <c r="G8">
        <v>6</v>
      </c>
    </row>
    <row r="9" spans="1:9">
      <c r="A9" t="s">
        <v>96</v>
      </c>
      <c r="G9">
        <v>7</v>
      </c>
    </row>
    <row r="10" spans="1:9">
      <c r="A10" t="s">
        <v>98</v>
      </c>
      <c r="G10">
        <v>8</v>
      </c>
    </row>
    <row r="11" spans="1:9">
      <c r="A11" t="s">
        <v>99</v>
      </c>
      <c r="G11">
        <v>9</v>
      </c>
    </row>
    <row r="12" spans="1:9">
      <c r="A12" t="s">
        <v>97</v>
      </c>
      <c r="G12">
        <v>10</v>
      </c>
    </row>
    <row r="13" spans="1:9">
      <c r="G13">
        <v>11</v>
      </c>
    </row>
    <row r="14" spans="1:9">
      <c r="G14">
        <v>12</v>
      </c>
    </row>
    <row r="15" spans="1:9">
      <c r="G15">
        <v>13</v>
      </c>
    </row>
    <row r="16" spans="1:9">
      <c r="G16">
        <v>14</v>
      </c>
    </row>
    <row r="17" spans="7:13">
      <c r="G17">
        <v>15</v>
      </c>
    </row>
    <row r="18" spans="7:13">
      <c r="G18">
        <v>16</v>
      </c>
    </row>
    <row r="19" spans="7:13">
      <c r="G19">
        <v>17</v>
      </c>
    </row>
    <row r="20" spans="7:13">
      <c r="G20">
        <v>18</v>
      </c>
    </row>
    <row r="21" spans="7:13">
      <c r="G21">
        <v>19</v>
      </c>
    </row>
    <row r="22" spans="7:13">
      <c r="G22">
        <v>20</v>
      </c>
    </row>
    <row r="23" spans="7:13">
      <c r="G23">
        <v>21</v>
      </c>
    </row>
    <row r="24" spans="7:13">
      <c r="G24">
        <v>22</v>
      </c>
    </row>
    <row r="25" spans="7:13">
      <c r="G25">
        <v>23</v>
      </c>
    </row>
    <row r="26" spans="7:13">
      <c r="G26">
        <v>24</v>
      </c>
    </row>
    <row r="27" spans="7:13">
      <c r="G27">
        <v>25</v>
      </c>
    </row>
    <row r="28" spans="7:13">
      <c r="G28">
        <v>26</v>
      </c>
    </row>
    <row r="29" spans="7:13">
      <c r="G29">
        <v>27</v>
      </c>
    </row>
    <row r="30" spans="7:13">
      <c r="G30">
        <v>28</v>
      </c>
    </row>
    <row r="31" spans="7:13" ht="12" thickBot="1">
      <c r="G31">
        <v>29</v>
      </c>
    </row>
    <row r="32" spans="7:13" ht="14.25">
      <c r="G32">
        <v>30</v>
      </c>
      <c r="I32" s="32"/>
      <c r="J32" s="33"/>
      <c r="K32" s="33"/>
      <c r="L32" s="33"/>
      <c r="M32" s="34"/>
    </row>
    <row r="33" spans="9:19" ht="14.25">
      <c r="I33" s="24"/>
      <c r="J33" s="31"/>
      <c r="K33" s="31"/>
      <c r="L33" s="31"/>
      <c r="M33" s="35"/>
    </row>
    <row r="34" spans="9:19" ht="15" thickBot="1">
      <c r="I34" s="24"/>
      <c r="J34" s="31"/>
      <c r="K34" s="31"/>
      <c r="L34" s="31"/>
      <c r="M34" s="35"/>
    </row>
    <row r="35" spans="9:19" ht="15" thickBot="1">
      <c r="I35" s="25"/>
      <c r="J35" s="36"/>
      <c r="K35" s="36"/>
      <c r="L35" s="36"/>
      <c r="M35" s="32"/>
      <c r="N35" s="33"/>
      <c r="O35" s="33"/>
      <c r="P35" s="33"/>
      <c r="Q35" s="34"/>
    </row>
    <row r="36" spans="9:19" ht="14.25">
      <c r="M36" s="24"/>
      <c r="N36" s="31"/>
      <c r="O36" s="31"/>
      <c r="P36" s="31"/>
      <c r="Q36" s="35"/>
    </row>
    <row r="37" spans="9:19" ht="15" thickBot="1">
      <c r="M37" s="24"/>
      <c r="N37" s="31"/>
      <c r="O37" s="31"/>
      <c r="P37" s="31"/>
      <c r="Q37" s="35"/>
    </row>
    <row r="38" spans="9:19" ht="18.75" thickBot="1">
      <c r="M38" s="25"/>
      <c r="N38" s="36"/>
      <c r="O38" s="36"/>
      <c r="P38" s="36"/>
      <c r="Q38" s="194"/>
      <c r="R38" s="195"/>
      <c r="S38" s="196"/>
    </row>
  </sheetData>
  <mergeCells count="1">
    <mergeCell ref="Q38:S38"/>
  </mergeCells>
  <phoneticPr fontId="22" type="noConversion"/>
  <dataValidations count="1">
    <dataValidation allowBlank="1" showInputMessage="1" showErrorMessage="1" promptTitle="Note Category" sqref="A3:A12" xr:uid="{70BACD6E-E7FD-45FD-A523-DF2E1919FCE9}"/>
  </dataValidation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8B188B5999AB458C5EE0281966DBC1" ma:contentTypeVersion="14" ma:contentTypeDescription="Create a new document." ma:contentTypeScope="" ma:versionID="9dc300c7cc0cafd1902be93d02fa3a79">
  <xsd:schema xmlns:xsd="http://www.w3.org/2001/XMLSchema" xmlns:xs="http://www.w3.org/2001/XMLSchema" xmlns:p="http://schemas.microsoft.com/office/2006/metadata/properties" xmlns:ns2="f12ffb25-656e-4a4b-a6cd-f995c399c485" xmlns:ns3="88c4ed0e-8ea9-47a8-a455-6b3a9cac1f93" targetNamespace="http://schemas.microsoft.com/office/2006/metadata/properties" ma:root="true" ma:fieldsID="3d557a1768b1c3be2a38bae5d209bb39" ns2:_="" ns3:_="">
    <xsd:import namespace="f12ffb25-656e-4a4b-a6cd-f995c399c485"/>
    <xsd:import namespace="88c4ed0e-8ea9-47a8-a455-6b3a9cac1f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2ffb25-656e-4a4b-a6cd-f995c399c4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c4ed0e-8ea9-47a8-a455-6b3a9cac1f93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E503AE-2CF6-4849-B3E4-39E7A492B10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148E53-4056-44E0-A1EC-0923AD88AD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2ffb25-656e-4a4b-a6cd-f995c399c485"/>
    <ds:schemaRef ds:uri="88c4ed0e-8ea9-47a8-a455-6b3a9cac1f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8A7F0E-766E-4624-A30C-87A1FAD8F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Pre-RT Checklist</vt:lpstr>
      <vt:lpstr>RT Completed Checklist</vt:lpstr>
      <vt:lpstr>Summary sheet correct CAT</vt:lpstr>
      <vt:lpstr>Number of Notes Summary Sheet</vt:lpstr>
      <vt:lpstr>100F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David.Strachan@ncr.com</dc:creator>
  <cp:keywords/>
  <dc:description/>
  <cp:lastModifiedBy>Bizley, Joshua</cp:lastModifiedBy>
  <cp:revision/>
  <dcterms:created xsi:type="dcterms:W3CDTF">2019-03-07T10:42:01Z</dcterms:created>
  <dcterms:modified xsi:type="dcterms:W3CDTF">2022-04-21T10:58:17Z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0x0101000D8B188B5999AB458C5EE0281966DBC1</vt:lpwstr>
  </property>
  <property fmtid="{D5CDD505-2E9C-101B-9397-08002B2CF9AE}" pid="3" name="MSIP_Label_dc233488-06c6-4c2b-96ac-e256c4376f84_Enabled">
    <vt:lpwstr>true</vt:lpwstr>
  </property>
  <property fmtid="{D5CDD505-2E9C-101B-9397-08002B2CF9AE}" pid="4" name="MSIP_Label_dc233488-06c6-4c2b-96ac-e256c4376f84_SetDate">
    <vt:lpwstr>2021-03-30T08:59:13Z</vt:lpwstr>
  </property>
  <property fmtid="{D5CDD505-2E9C-101B-9397-08002B2CF9AE}" pid="5" name="MSIP_Label_dc233488-06c6-4c2b-96ac-e256c4376f84_Method">
    <vt:lpwstr>Privileged</vt:lpwstr>
  </property>
  <property fmtid="{D5CDD505-2E9C-101B-9397-08002B2CF9AE}" pid="6" name="MSIP_Label_dc233488-06c6-4c2b-96ac-e256c4376f84_Name">
    <vt:lpwstr>dc233488-06c6-4c2b-96ac-e256c4376f84</vt:lpwstr>
  </property>
  <property fmtid="{D5CDD505-2E9C-101B-9397-08002B2CF9AE}" pid="7" name="MSIP_Label_dc233488-06c6-4c2b-96ac-e256c4376f84_SiteId">
    <vt:lpwstr>ae4df1f7-611e-444f-897e-f964e1205171</vt:lpwstr>
  </property>
  <property fmtid="{D5CDD505-2E9C-101B-9397-08002B2CF9AE}" pid="8" name="MSIP_Label_dc233488-06c6-4c2b-96ac-e256c4376f84_ActionId">
    <vt:lpwstr/>
  </property>
  <property fmtid="{D5CDD505-2E9C-101B-9397-08002B2CF9AE}" pid="9" name="MSIP_Label_dc233488-06c6-4c2b-96ac-e256c4376f84_ContentBits">
    <vt:lpwstr>0</vt:lpwstr>
  </property>
  <property fmtid="{D5CDD505-2E9C-101B-9397-08002B2CF9AE}" pid="10" name="_dlc_policyId">
    <vt:lpwstr>0x010100F8A607BD3053154DBBC7CFB6EFA1C108</vt:lpwstr>
  </property>
  <property fmtid="{D5CDD505-2E9C-101B-9397-08002B2CF9AE}" pid="11" name="ItemRetentionFormula">
    <vt:lpwstr>&lt;formula id="Microsoft.Office.RecordsManagement.PolicyFeatures.Expiration.Formula.BuiltIn"&gt;&lt;number&gt;500&lt;/number&gt;&lt;property&gt;Created&lt;/property&gt;&lt;propertyId&gt;8c06beca-0777-48f7-91c7-6da68bc07b69&lt;/propertyId&gt;&lt;period&gt;years&lt;/period&gt;&lt;/formula&gt;</vt:lpwstr>
  </property>
</Properties>
</file>